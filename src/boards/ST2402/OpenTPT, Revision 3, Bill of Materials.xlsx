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sion 3 Bo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<sst xmlns="http://schemas.openxmlformats.org/spreadsheetml/2006/main" count="224" uniqueCount="207">
  <si>
    <t xml:space="preserve">Index</t>
  </si>
  <si>
    <t xml:space="preserve">Reference</t>
  </si>
  <si>
    <t xml:space="preserve">Value</t>
  </si>
  <si>
    <t xml:space="preserve">Footprint</t>
  </si>
  <si>
    <t xml:space="preserve">Mfg / Part Number</t>
  </si>
  <si>
    <t xml:space="preserve">Replacement Part</t>
  </si>
  <si>
    <t xml:space="preserve">Qty Per Assembly</t>
  </si>
  <si>
    <t xml:space="preserve">Mouser SKU (ref)</t>
  </si>
  <si>
    <t xml:space="preserve">DKPN</t>
  </si>
  <si>
    <t xml:space="preserve">DK, Qty Price Break</t>
  </si>
  <si>
    <t xml:space="preserve">Price Each</t>
  </si>
  <si>
    <t xml:space="preserve">Qty x3+10%+Break</t>
  </si>
  <si>
    <t xml:space="preserve">Expan Cost</t>
  </si>
  <si>
    <t xml:space="preserve">Notes</t>
  </si>
  <si>
    <t xml:space="preserve">U1,U7</t>
  </si>
  <si>
    <t xml:space="preserve">R1S-1212</t>
  </si>
  <si>
    <t xml:space="preserve">GS_Library:5_pin_single_smd</t>
  </si>
  <si>
    <t xml:space="preserve">919-R1S-1212</t>
  </si>
  <si>
    <t xml:space="preserve">945-3298-ND</t>
  </si>
  <si>
    <t xml:space="preserve">U2</t>
  </si>
  <si>
    <t xml:space="preserve">LM317L_SOT-89</t>
  </si>
  <si>
    <t xml:space="preserve">Package_TO_SOT_SMD:SOT-89-3</t>
  </si>
  <si>
    <t xml:space="preserve">LM317LCPK</t>
  </si>
  <si>
    <t xml:space="preserve">595-LM317LCPK</t>
  </si>
  <si>
    <t xml:space="preserve">296-26093-1-ND</t>
  </si>
  <si>
    <t xml:space="preserve">U6,U8</t>
  </si>
  <si>
    <t xml:space="preserve">Si8271DB-IS</t>
  </si>
  <si>
    <t xml:space="preserve">Package_SO:SOIC-8_3.9x4.9mm_P1.27mm</t>
  </si>
  <si>
    <t xml:space="preserve">634-Si8271DB-IS</t>
  </si>
  <si>
    <t xml:space="preserve">336-3532-5-ND</t>
  </si>
  <si>
    <t xml:space="preserve">Q1,Q2</t>
  </si>
  <si>
    <t xml:space="preserve">STP100N10F7</t>
  </si>
  <si>
    <t xml:space="preserve">Package_TO_SOT_THT:TO-220-3_Vertical</t>
  </si>
  <si>
    <t xml:space="preserve">511-STP100N10F7</t>
  </si>
  <si>
    <t xml:space="preserve">497-13550-5-ND</t>
  </si>
  <si>
    <t xml:space="preserve">Schematic calls for STB100N10F7, this is D2PAK part. PCB has TO-220 parts.</t>
  </si>
  <si>
    <t xml:space="preserve">C5,C7,C8,C9,C25</t>
  </si>
  <si>
    <t xml:space="preserve">100 nF, 16 V</t>
  </si>
  <si>
    <t xml:space="preserve">Capacitor_SMD:C_0805_2012Metric</t>
  </si>
  <si>
    <t xml:space="preserve">885012207098</t>
  </si>
  <si>
    <t xml:space="preserve">710-885012207098</t>
  </si>
  <si>
    <t xml:space="preserve">732-8080-1-ND</t>
  </si>
  <si>
    <t xml:space="preserve">C27,C36,C37</t>
  </si>
  <si>
    <t xml:space="preserve">1 uF, 25V</t>
  </si>
  <si>
    <t xml:space="preserve">885012207103</t>
  </si>
  <si>
    <t xml:space="preserve">710-85012207103</t>
  </si>
  <si>
    <t xml:space="preserve">732-7678-1-ND</t>
  </si>
  <si>
    <t xml:space="preserve">C4, C6,C26,C34,C35</t>
  </si>
  <si>
    <t xml:space="preserve">10 uF, 25V</t>
  </si>
  <si>
    <t xml:space="preserve">GRM21BR61H106KE43L</t>
  </si>
  <si>
    <t xml:space="preserve">490-18663-1-ND</t>
  </si>
  <si>
    <t xml:space="preserve">C1,C12,C15,C16,C17,C18,C19,C20,C21,C22,C23,C24</t>
  </si>
  <si>
    <t xml:space="preserve">10 uF, 50 V, X7R</t>
  </si>
  <si>
    <t xml:space="preserve">Capacitor_SMD:C_1210_3225Metric</t>
  </si>
  <si>
    <t xml:space="preserve">Wurth 885012209073</t>
  </si>
  <si>
    <t xml:space="preserve">CL32B106KBJNNNE</t>
  </si>
  <si>
    <t xml:space="preserve">710-885012209073</t>
  </si>
  <si>
    <t xml:space="preserve">1276-3387-1-ND</t>
  </si>
  <si>
    <t xml:space="preserve">C10,C11,C13,C14</t>
  </si>
  <si>
    <t xml:space="preserve">1000 uF, 200 V</t>
  </si>
  <si>
    <t xml:space="preserve">Capacitor_THT:CP_Radial_D30.0mm_P10.00mm_SnapIn</t>
  </si>
  <si>
    <t xml:space="preserve">Wurth 861141085021</t>
  </si>
  <si>
    <t xml:space="preserve">710-861141085021</t>
  </si>
  <si>
    <t xml:space="preserve">732-11901-ND</t>
  </si>
  <si>
    <t xml:space="preserve">R23,R29</t>
  </si>
  <si>
    <t xml:space="preserve">2 ohm</t>
  </si>
  <si>
    <t xml:space="preserve">Resistor_SMD:R_0805_2012Metric</t>
  </si>
  <si>
    <t xml:space="preserve">CRCW08052R00FKEA</t>
  </si>
  <si>
    <t xml:space="preserve">71-RCW08052R00FKEA</t>
  </si>
  <si>
    <t xml:space="preserve">541-2.00CCCT-ND</t>
  </si>
  <si>
    <t xml:space="preserve">R22,R24</t>
  </si>
  <si>
    <t xml:space="preserve">87 ohm, 1%</t>
  </si>
  <si>
    <t xml:space="preserve">ERJ-6ENF86R6V</t>
  </si>
  <si>
    <t xml:space="preserve">P86.6CCT-ND</t>
  </si>
  <si>
    <t xml:space="preserve">ls off</t>
  </si>
  <si>
    <t xml:space="preserve">R18,R19</t>
  </si>
  <si>
    <t xml:space="preserve">100 ohm, 1%</t>
  </si>
  <si>
    <t xml:space="preserve">ERJ-P06F1000V</t>
  </si>
  <si>
    <t xml:space="preserve">P16057CT-ND</t>
  </si>
  <si>
    <t xml:space="preserve">dead time</t>
  </si>
  <si>
    <t xml:space="preserve">R11</t>
  </si>
  <si>
    <t xml:space="preserve">470 ohm</t>
  </si>
  <si>
    <t xml:space="preserve">RC0805FR-07470RL</t>
  </si>
  <si>
    <t xml:space="preserve">603-RC0805FR-07470RL</t>
  </si>
  <si>
    <t xml:space="preserve">311-470CRCT-ND</t>
  </si>
  <si>
    <t xml:space="preserve">R1,R2,R3,R4,R5,R6,R7,R8</t>
  </si>
  <si>
    <t xml:space="preserve">R820, 1%, 1206, 100ppm</t>
  </si>
  <si>
    <t xml:space="preserve">Resistor_SMD:R_1206_3216Metric</t>
  </si>
  <si>
    <t xml:space="preserve">RCWE1206R820FKEA</t>
  </si>
  <si>
    <t xml:space="preserve">71-RCWE1206R820FKEA</t>
  </si>
  <si>
    <t xml:space="preserve">RCWE.82ECT-ND</t>
  </si>
  <si>
    <t xml:space="preserve">(Alt for R1,R2,R3,R4,R5,R6,R7,R8)</t>
  </si>
  <si>
    <t xml:space="preserve">R820, 1%, 1206, 200ppm</t>
  </si>
  <si>
    <t xml:space="preserve">ERJ-8BQFR82V</t>
  </si>
  <si>
    <t xml:space="preserve">667-ERJ-8BQFR82V</t>
  </si>
  <si>
    <t xml:space="preserve">R12</t>
  </si>
  <si>
    <t xml:space="preserve">1.43k ohm</t>
  </si>
  <si>
    <t xml:space="preserve">CRCW08051K43FKEA</t>
  </si>
  <si>
    <t xml:space="preserve">541-1.43KCCT-ND</t>
  </si>
  <si>
    <t xml:space="preserve">R9,R10</t>
  </si>
  <si>
    <t xml:space="preserve">3k 0.5W</t>
  </si>
  <si>
    <t xml:space="preserve">Resistor_THT:R_Axial_DIN0309_L9.0mm_D3.2mm_P15.24mm_Horizontal</t>
  </si>
  <si>
    <t xml:space="preserve">RSF100JB-73-3K</t>
  </si>
  <si>
    <t xml:space="preserve">603-RSF100JB-73-3K</t>
  </si>
  <si>
    <t xml:space="preserve">3.0KW-1-ND</t>
  </si>
  <si>
    <t xml:space="preserve">Part specs are larger than PCB footprint, but values are correct. Float part for heat dissipation?</t>
  </si>
  <si>
    <t xml:space="preserve">R13,R14,R20,R21</t>
  </si>
  <si>
    <t xml:space="preserve">10k ohm, 1%</t>
  </si>
  <si>
    <t xml:space="preserve">ERJ-6ENF1002V</t>
  </si>
  <si>
    <t xml:space="preserve">P10.0KCCT-ND</t>
  </si>
  <si>
    <t xml:space="preserve">hs off, enable pins</t>
  </si>
  <si>
    <t xml:space="preserve">R30,R31</t>
  </si>
  <si>
    <t xml:space="preserve">100k ohm</t>
  </si>
  <si>
    <t xml:space="preserve">RC0805FR-07100KL</t>
  </si>
  <si>
    <t xml:space="preserve">603-RC0805FR-07100KL</t>
  </si>
  <si>
    <t xml:space="preserve">311-100KCRCT-ND</t>
  </si>
  <si>
    <t xml:space="preserve">F1,F2</t>
  </si>
  <si>
    <t xml:space="preserve">6.3A FA</t>
  </si>
  <si>
    <t xml:space="preserve">Fuse:Fuseholder_TR5_Littelfuse_No560_No460</t>
  </si>
  <si>
    <t xml:space="preserve">Littelfuse 37316300410</t>
  </si>
  <si>
    <t xml:space="preserve">576-37316300410</t>
  </si>
  <si>
    <t xml:space="preserve">WK3066BK-ND</t>
  </si>
  <si>
    <t xml:space="preserve">(Also for F1, F2)</t>
  </si>
  <si>
    <t xml:space="preserve">Fuse holder</t>
  </si>
  <si>
    <t xml:space="preserve">Littelfuse #560, 6.3A</t>
  </si>
  <si>
    <t xml:space="preserve">56000001319 </t>
  </si>
  <si>
    <t xml:space="preserve">576-56000001319</t>
  </si>
  <si>
    <t xml:space="preserve">WK0001-ND</t>
  </si>
  <si>
    <t xml:space="preserve">J3,J4,J5,J6</t>
  </si>
  <si>
    <t xml:space="preserve">Arduino Headers</t>
  </si>
  <si>
    <t xml:space="preserve">Adafruit 85</t>
  </si>
  <si>
    <t xml:space="preserve">485-85</t>
  </si>
  <si>
    <t xml:space="preserve">1528-1074-ND</t>
  </si>
  <si>
    <t xml:space="preserve">J21,J22</t>
  </si>
  <si>
    <t xml:space="preserve">Conn_02x03_Top_Bottom</t>
  </si>
  <si>
    <t xml:space="preserve">Connector_PinHeader_2.54mm:PinHeader_2x03_P2.54mm_Vertical</t>
  </si>
  <si>
    <t xml:space="preserve">Samtec SSQ10301GD</t>
  </si>
  <si>
    <t xml:space="preserve">200-SSQ10301GD</t>
  </si>
  <si>
    <t xml:space="preserve">SAM1179-03-ND</t>
  </si>
  <si>
    <t xml:space="preserve">Schematic/layout specify pin header, but BOM part is socket. Photo shows sockets.</t>
  </si>
  <si>
    <t xml:space="preserve">J11,J12</t>
  </si>
  <si>
    <t xml:space="preserve">Conn_02x02_Top_Bottom</t>
  </si>
  <si>
    <t xml:space="preserve">Connector_PinSocket_2.54mm:PinSocket_2x02_P2.54mm_Vertical</t>
  </si>
  <si>
    <t xml:space="preserve">Samtec SSQ10203FD</t>
  </si>
  <si>
    <t xml:space="preserve">SSQ-102-01-L-D</t>
  </si>
  <si>
    <t xml:space="preserve">200-SSQ10203FD</t>
  </si>
  <si>
    <t xml:space="preserve">SAM11905-ND</t>
  </si>
  <si>
    <t xml:space="preserve">Specified part is custom order. Replacement has 2.64 mm tail vs 10.00 mm</t>
  </si>
  <si>
    <t xml:space="preserve">J9</t>
  </si>
  <si>
    <t xml:space="preserve">Screw_Terminal_01x02</t>
  </si>
  <si>
    <t xml:space="preserve">TerminalBlock:TerminalBlock_bornier-2_P5.08mm</t>
  </si>
  <si>
    <t xml:space="preserve">TB006-508-02BE </t>
  </si>
  <si>
    <t xml:space="preserve">490-TB006-508-02BE </t>
  </si>
  <si>
    <t xml:space="preserve">102-6191-ND</t>
  </si>
  <si>
    <t xml:space="preserve">J15</t>
  </si>
  <si>
    <t xml:space="preserve">Banana Jack, Red</t>
  </si>
  <si>
    <t xml:space="preserve">Library:Banana_4mm_pcb</t>
  </si>
  <si>
    <t xml:space="preserve">973582101</t>
  </si>
  <si>
    <t xml:space="preserve">973582101-ND</t>
  </si>
  <si>
    <t xml:space="preserve">Footprint calls for socket with 15 mm pitch.
Standard parts are either 10 mm or 17 mm.
Modify and glue to fit.</t>
  </si>
  <si>
    <t xml:space="preserve">J16</t>
  </si>
  <si>
    <t xml:space="preserve">Banana Jack, Blue</t>
  </si>
  <si>
    <t xml:space="preserve">105-0760-001</t>
  </si>
  <si>
    <t xml:space="preserve">J115-ND</t>
  </si>
  <si>
    <t xml:space="preserve">J17</t>
  </si>
  <si>
    <t xml:space="preserve">Banana Jack, Black</t>
  </si>
  <si>
    <t xml:space="preserve">973582100</t>
  </si>
  <si>
    <t xml:space="preserve">973582100-ND</t>
  </si>
  <si>
    <t xml:space="preserve">J13,J19</t>
  </si>
  <si>
    <t xml:space="preserve">BNC</t>
  </si>
  <si>
    <t xml:space="preserve">Connector_Coaxial:BNC_TEConnectivity_1478204_Vertical</t>
  </si>
  <si>
    <t xml:space="preserve">TE 1478204 (obsolete)</t>
  </si>
  <si>
    <t xml:space="preserve">Amp RF 112404</t>
  </si>
  <si>
    <t xml:space="preserve">ACX1051-ND</t>
  </si>
  <si>
    <t xml:space="preserve">TP16,TP18</t>
  </si>
  <si>
    <t xml:space="preserve">Binding Post, Red</t>
  </si>
  <si>
    <t xml:space="preserve">TestPoint:TestPoint_Plated_Hole_D5.0mm</t>
  </si>
  <si>
    <t xml:space="preserve">BU-P3760-6</t>
  </si>
  <si>
    <t xml:space="preserve">548-BU-P3760-6</t>
  </si>
  <si>
    <t xml:space="preserve">314-1496-ND</t>
  </si>
  <si>
    <t xml:space="preserve">TP17,TP19</t>
  </si>
  <si>
    <t xml:space="preserve">Binding Post, Black</t>
  </si>
  <si>
    <t xml:space="preserve">BU-P3760-0</t>
  </si>
  <si>
    <t xml:space="preserve">548-BU-P3760-0</t>
  </si>
  <si>
    <t xml:space="preserve">314-1492-ND</t>
  </si>
  <si>
    <t xml:space="preserve">TP4,TP5,TP12</t>
  </si>
  <si>
    <t xml:space="preserve">Clip loop, YEL</t>
  </si>
  <si>
    <t xml:space="preserve">TestPoint:TestPoint_Keystone_5010-5014_Multipurpose</t>
  </si>
  <si>
    <t xml:space="preserve">Keystone 5004</t>
  </si>
  <si>
    <t xml:space="preserve">534-5004</t>
  </si>
  <si>
    <t xml:space="preserve">36-5004-ND</t>
  </si>
  <si>
    <t xml:space="preserve">TP6,TP13,TP15</t>
  </si>
  <si>
    <t xml:space="preserve">Clip loop, ORG</t>
  </si>
  <si>
    <t xml:space="preserve">Keystone 5003</t>
  </si>
  <si>
    <t xml:space="preserve">534-5003</t>
  </si>
  <si>
    <t xml:space="preserve">36-5003-ND</t>
  </si>
  <si>
    <t xml:space="preserve">TP10,TP14</t>
  </si>
  <si>
    <t xml:space="preserve">Clip loop, WHITE</t>
  </si>
  <si>
    <t xml:space="preserve">Keystone 5002</t>
  </si>
  <si>
    <t xml:space="preserve">534-5002</t>
  </si>
  <si>
    <t xml:space="preserve">36-5002-ND</t>
  </si>
  <si>
    <t xml:space="preserve">TP11</t>
  </si>
  <si>
    <t xml:space="preserve">Clip loop, BLACK</t>
  </si>
  <si>
    <t xml:space="preserve">Keystone 5001</t>
  </si>
  <si>
    <t xml:space="preserve">534-5001</t>
  </si>
  <si>
    <t xml:space="preserve">36-5001-ND</t>
  </si>
  <si>
    <t xml:space="preserve">Total Cost: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</si>
</sst>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0"/>
    <numFmt numFmtId="167" formatCode="[$$-409]#,##0.00;[RED]\-[$$-409]#,##0.00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3" tint="0.1499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i val="true"/>
      <sz val="10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left" vertical="center" textRotation="0" wrapText="true" indent="1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9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Table details left aligned" xfId="20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0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8" activeCellId="0" sqref="A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8.43"/>
    <col collapsed="false" customWidth="true" hidden="false" outlineLevel="0" max="2" min="2" style="2" width="51.17"/>
    <col collapsed="false" customWidth="true" hidden="false" outlineLevel="0" max="3" min="3" style="2" width="26.51"/>
    <col collapsed="false" customWidth="true" hidden="false" outlineLevel="0" max="4" min="4" style="2" width="63.56"/>
    <col collapsed="false" customWidth="true" hidden="false" outlineLevel="0" max="5" min="5" style="2" width="21.04"/>
    <col collapsed="false" customWidth="true" hidden="false" outlineLevel="0" max="6" min="6" style="2" width="19.82"/>
    <col collapsed="false" customWidth="true" hidden="false" outlineLevel="0" max="7" min="7" style="1" width="22.69"/>
    <col collapsed="false" customWidth="true" hidden="false" outlineLevel="0" max="8" min="8" style="2" width="23.85"/>
    <col collapsed="false" customWidth="true" hidden="false" outlineLevel="0" max="9" min="9" style="2" width="23.65"/>
    <col collapsed="false" customWidth="true" hidden="false" outlineLevel="0" max="10" min="10" style="1" width="24.34"/>
    <col collapsed="false" customWidth="true" hidden="false" outlineLevel="0" max="11" min="11" style="1" width="16.43"/>
    <col collapsed="false" customWidth="true" hidden="false" outlineLevel="0" max="12" min="12" style="2" width="24.25"/>
    <col collapsed="false" customWidth="true" hidden="false" outlineLevel="0" max="13" min="13" style="2" width="15.3"/>
    <col collapsed="false" customWidth="true" hidden="false" outlineLevel="0" max="14" min="14" style="2" width="44.71"/>
  </cols>
  <sheetData>
    <row r="1" customFormat="false" ht="13.8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6" t="s">
        <v>11</v>
      </c>
      <c r="M1" s="6" t="s">
        <v>12</v>
      </c>
      <c r="N1" s="7" t="s">
        <v>13</v>
      </c>
    </row>
    <row r="2" customFormat="false" ht="12.8" hidden="false" customHeight="false" outlineLevel="0" collapsed="false">
      <c r="A2" s="1" t="n">
        <v>1</v>
      </c>
      <c r="B2" s="2" t="s">
        <v>14</v>
      </c>
      <c r="C2" s="2" t="s">
        <v>15</v>
      </c>
      <c r="D2" s="2" t="s">
        <v>16</v>
      </c>
      <c r="G2" s="1" t="n">
        <v>2</v>
      </c>
      <c r="H2" s="2" t="s">
        <v>17</v>
      </c>
      <c r="I2" s="2" t="s">
        <v>18</v>
      </c>
      <c r="J2" s="1" t="n">
        <v>1</v>
      </c>
      <c r="K2" s="8" t="n">
        <v>7.75</v>
      </c>
      <c r="L2" s="9" t="n">
        <f aca="false">_xlfn.CEILING.MATH(G2*3*1.1 ,J2)</f>
        <v>7</v>
      </c>
      <c r="M2" s="10" t="n">
        <f aca="false">K2*L2</f>
        <v>54.25</v>
      </c>
    </row>
    <row r="3" customFormat="false" ht="12.8" hidden="false" customHeight="false" outlineLevel="0" collapsed="false">
      <c r="A3" s="1" t="n">
        <v>2</v>
      </c>
      <c r="B3" s="2" t="s">
        <v>19</v>
      </c>
      <c r="C3" s="2" t="s">
        <v>20</v>
      </c>
      <c r="D3" s="2" t="s">
        <v>21</v>
      </c>
      <c r="E3" s="2" t="s">
        <v>22</v>
      </c>
      <c r="G3" s="1" t="n">
        <v>1</v>
      </c>
      <c r="H3" s="2" t="s">
        <v>23</v>
      </c>
      <c r="I3" s="2" t="s">
        <v>24</v>
      </c>
      <c r="J3" s="1" t="n">
        <v>10</v>
      </c>
      <c r="K3" s="8" t="n">
        <v>0.437</v>
      </c>
      <c r="L3" s="9" t="n">
        <f aca="false">_xlfn.CEILING.MATH(G3*3*1.1 ,J3)</f>
        <v>10</v>
      </c>
      <c r="M3" s="10" t="n">
        <f aca="false">K3*L3</f>
        <v>4.37</v>
      </c>
    </row>
    <row r="4" customFormat="false" ht="12.8" hidden="false" customHeight="false" outlineLevel="0" collapsed="false">
      <c r="A4" s="1" t="n">
        <v>3</v>
      </c>
      <c r="B4" s="2" t="s">
        <v>25</v>
      </c>
      <c r="C4" s="2" t="s">
        <v>26</v>
      </c>
      <c r="D4" s="2" t="s">
        <v>27</v>
      </c>
      <c r="E4" s="2" t="s">
        <v>26</v>
      </c>
      <c r="G4" s="1" t="n">
        <v>2</v>
      </c>
      <c r="H4" s="2" t="s">
        <v>28</v>
      </c>
      <c r="I4" s="2" t="s">
        <v>29</v>
      </c>
      <c r="J4" s="1" t="n">
        <v>10</v>
      </c>
      <c r="K4" s="8" t="n">
        <v>2.677</v>
      </c>
      <c r="L4" s="9" t="n">
        <f aca="false">_xlfn.CEILING.MATH(G4*3*1.1 ,J4)</f>
        <v>10</v>
      </c>
      <c r="M4" s="10" t="n">
        <f aca="false">K4*L4</f>
        <v>26.77</v>
      </c>
    </row>
    <row r="5" customFormat="false" ht="12.8" hidden="false" customHeight="false" outlineLevel="0" collapsed="false">
      <c r="A5" s="1" t="n">
        <v>4</v>
      </c>
      <c r="B5" s="2" t="s">
        <v>30</v>
      </c>
      <c r="C5" s="11" t="s">
        <v>31</v>
      </c>
      <c r="D5" s="2" t="s">
        <v>32</v>
      </c>
      <c r="E5" s="11" t="s">
        <v>31</v>
      </c>
      <c r="G5" s="1" t="n">
        <v>2</v>
      </c>
      <c r="H5" s="11" t="s">
        <v>33</v>
      </c>
      <c r="I5" s="12" t="s">
        <v>34</v>
      </c>
      <c r="J5" s="9" t="n">
        <v>1</v>
      </c>
      <c r="K5" s="10" t="n">
        <v>0.269</v>
      </c>
      <c r="L5" s="9" t="n">
        <f aca="false">_xlfn.CEILING.MATH(G5*3*1.1 ,J5)</f>
        <v>7</v>
      </c>
      <c r="M5" s="10" t="n">
        <f aca="false">K5*L5</f>
        <v>1.883</v>
      </c>
      <c r="N5" s="2" t="s">
        <v>35</v>
      </c>
    </row>
    <row r="6" customFormat="false" ht="12.8" hidden="false" customHeight="false" outlineLevel="0" collapsed="false">
      <c r="A6" s="1" t="n">
        <v>5</v>
      </c>
      <c r="B6" s="2" t="s">
        <v>36</v>
      </c>
      <c r="C6" s="2" t="s">
        <v>37</v>
      </c>
      <c r="D6" s="2" t="s">
        <v>38</v>
      </c>
      <c r="E6" s="13" t="s">
        <v>39</v>
      </c>
      <c r="G6" s="1" t="n">
        <v>5</v>
      </c>
      <c r="H6" s="13" t="s">
        <v>40</v>
      </c>
      <c r="I6" s="2" t="s">
        <v>41</v>
      </c>
      <c r="J6" s="1" t="n">
        <v>10</v>
      </c>
      <c r="K6" s="8" t="n">
        <v>0.038</v>
      </c>
      <c r="L6" s="9" t="n">
        <f aca="false">_xlfn.CEILING.MATH(G6*3*1.1 ,J6)</f>
        <v>20</v>
      </c>
      <c r="M6" s="10" t="n">
        <f aca="false">K6*L6</f>
        <v>0.76</v>
      </c>
    </row>
    <row r="7" customFormat="false" ht="12.8" hidden="false" customHeight="false" outlineLevel="0" collapsed="false">
      <c r="A7" s="1" t="n">
        <v>6</v>
      </c>
      <c r="B7" s="2" t="s">
        <v>42</v>
      </c>
      <c r="C7" s="2" t="s">
        <v>43</v>
      </c>
      <c r="D7" s="2" t="s">
        <v>38</v>
      </c>
      <c r="E7" s="13" t="s">
        <v>44</v>
      </c>
      <c r="G7" s="1" t="n">
        <v>3</v>
      </c>
      <c r="H7" s="13" t="s">
        <v>45</v>
      </c>
      <c r="I7" s="2" t="s">
        <v>46</v>
      </c>
      <c r="J7" s="1" t="n">
        <v>10</v>
      </c>
      <c r="K7" s="8" t="n">
        <v>0.169</v>
      </c>
      <c r="L7" s="9" t="n">
        <f aca="false">_xlfn.CEILING.MATH(G7*3*1.1 ,J7)</f>
        <v>10</v>
      </c>
      <c r="M7" s="10" t="n">
        <f aca="false">K7*L7</f>
        <v>1.69</v>
      </c>
    </row>
    <row r="8" customFormat="false" ht="12.8" hidden="false" customHeight="false" outlineLevel="0" collapsed="false">
      <c r="A8" s="1" t="n">
        <v>7</v>
      </c>
      <c r="B8" s="2" t="s">
        <v>47</v>
      </c>
      <c r="C8" s="2" t="s">
        <v>48</v>
      </c>
      <c r="D8" s="2" t="s">
        <v>38</v>
      </c>
      <c r="E8" s="13" t="s">
        <v>49</v>
      </c>
      <c r="G8" s="1" t="n">
        <v>5</v>
      </c>
      <c r="H8" s="13"/>
      <c r="I8" s="2" t="s">
        <v>50</v>
      </c>
      <c r="J8" s="1" t="n">
        <v>10</v>
      </c>
      <c r="K8" s="8" t="n">
        <v>0.174</v>
      </c>
      <c r="L8" s="9" t="n">
        <f aca="false">_xlfn.CEILING.MATH(G8*3*1.1 ,J8)</f>
        <v>20</v>
      </c>
      <c r="M8" s="10" t="n">
        <f aca="false">K8*L8</f>
        <v>3.48</v>
      </c>
    </row>
    <row r="9" customFormat="false" ht="12.8" hidden="false" customHeight="false" outlineLevel="0" collapsed="false">
      <c r="A9" s="1" t="n">
        <v>8</v>
      </c>
      <c r="B9" s="2" t="s">
        <v>51</v>
      </c>
      <c r="C9" s="11" t="s">
        <v>52</v>
      </c>
      <c r="D9" s="2" t="s">
        <v>53</v>
      </c>
      <c r="E9" s="14" t="s">
        <v>54</v>
      </c>
      <c r="F9" s="14" t="s">
        <v>55</v>
      </c>
      <c r="G9" s="1" t="n">
        <v>12</v>
      </c>
      <c r="H9" s="11" t="s">
        <v>56</v>
      </c>
      <c r="I9" s="11" t="s">
        <v>57</v>
      </c>
      <c r="J9" s="9" t="n">
        <v>10</v>
      </c>
      <c r="K9" s="10" t="n">
        <v>0.35</v>
      </c>
      <c r="L9" s="9" t="n">
        <f aca="false">_xlfn.CEILING.MATH(G9*3*1.1 ,J9)</f>
        <v>40</v>
      </c>
      <c r="M9" s="10" t="n">
        <f aca="false">K9*L9</f>
        <v>14</v>
      </c>
      <c r="N9" s="11"/>
      <c r="O9" s="11"/>
      <c r="P9" s="11"/>
    </row>
    <row r="10" customFormat="false" ht="12.8" hidden="false" customHeight="false" outlineLevel="0" collapsed="false">
      <c r="A10" s="1" t="n">
        <v>9</v>
      </c>
      <c r="B10" s="2" t="s">
        <v>58</v>
      </c>
      <c r="C10" s="11" t="s">
        <v>59</v>
      </c>
      <c r="D10" s="2" t="s">
        <v>60</v>
      </c>
      <c r="E10" s="14" t="s">
        <v>61</v>
      </c>
      <c r="G10" s="1" t="n">
        <v>4</v>
      </c>
      <c r="H10" s="11" t="s">
        <v>62</v>
      </c>
      <c r="I10" s="11" t="s">
        <v>63</v>
      </c>
      <c r="J10" s="9" t="n">
        <v>10</v>
      </c>
      <c r="K10" s="10" t="n">
        <v>5.14</v>
      </c>
      <c r="L10" s="9" t="n">
        <f aca="false">_xlfn.CEILING.MATH(G10*3*1.1 ,J10)</f>
        <v>20</v>
      </c>
      <c r="M10" s="10" t="n">
        <f aca="false">K10*L10</f>
        <v>102.8</v>
      </c>
      <c r="N10" s="11"/>
      <c r="O10" s="11"/>
      <c r="P10" s="11"/>
    </row>
    <row r="11" customFormat="false" ht="12.8" hidden="false" customHeight="false" outlineLevel="0" collapsed="false">
      <c r="A11" s="1" t="n">
        <v>10</v>
      </c>
      <c r="B11" s="2" t="s">
        <v>64</v>
      </c>
      <c r="C11" s="2" t="s">
        <v>65</v>
      </c>
      <c r="D11" s="2" t="s">
        <v>66</v>
      </c>
      <c r="E11" s="13" t="s">
        <v>67</v>
      </c>
      <c r="G11" s="1" t="n">
        <v>2</v>
      </c>
      <c r="H11" s="13" t="s">
        <v>68</v>
      </c>
      <c r="I11" s="2" t="s">
        <v>69</v>
      </c>
      <c r="J11" s="1" t="n">
        <v>10</v>
      </c>
      <c r="K11" s="8" t="n">
        <v>0.05</v>
      </c>
      <c r="L11" s="9" t="n">
        <f aca="false">_xlfn.CEILING.MATH(G11*3*1.1 ,J11)</f>
        <v>10</v>
      </c>
      <c r="M11" s="10" t="n">
        <f aca="false">K11*L11</f>
        <v>0.5</v>
      </c>
      <c r="O11" s="11"/>
      <c r="P11" s="11"/>
    </row>
    <row r="12" customFormat="false" ht="12.8" hidden="false" customHeight="false" outlineLevel="0" collapsed="false">
      <c r="A12" s="1" t="n">
        <v>11</v>
      </c>
      <c r="B12" s="2" t="s">
        <v>70</v>
      </c>
      <c r="C12" s="2" t="s">
        <v>71</v>
      </c>
      <c r="D12" s="2" t="s">
        <v>66</v>
      </c>
      <c r="F12" s="14" t="s">
        <v>72</v>
      </c>
      <c r="G12" s="1" t="n">
        <v>2</v>
      </c>
      <c r="I12" s="11" t="s">
        <v>73</v>
      </c>
      <c r="J12" s="9" t="n">
        <v>10</v>
      </c>
      <c r="K12" s="10" t="n">
        <v>0.052</v>
      </c>
      <c r="L12" s="9" t="n">
        <f aca="false">_xlfn.CEILING.MATH(G12*3*1.1 ,J12)</f>
        <v>10</v>
      </c>
      <c r="M12" s="10" t="n">
        <f aca="false">K12*L12</f>
        <v>0.52</v>
      </c>
      <c r="N12" s="11" t="s">
        <v>74</v>
      </c>
      <c r="O12" s="11"/>
      <c r="P12" s="11"/>
    </row>
    <row r="13" customFormat="false" ht="12.8" hidden="false" customHeight="false" outlineLevel="0" collapsed="false">
      <c r="A13" s="1" t="n">
        <v>12</v>
      </c>
      <c r="B13" s="2" t="s">
        <v>75</v>
      </c>
      <c r="C13" s="2" t="s">
        <v>76</v>
      </c>
      <c r="D13" s="2" t="s">
        <v>66</v>
      </c>
      <c r="F13" s="14" t="s">
        <v>77</v>
      </c>
      <c r="G13" s="1" t="n">
        <v>2</v>
      </c>
      <c r="I13" s="11" t="s">
        <v>78</v>
      </c>
      <c r="J13" s="9" t="n">
        <v>10</v>
      </c>
      <c r="K13" s="10" t="n">
        <v>0.084</v>
      </c>
      <c r="L13" s="9" t="n">
        <f aca="false">_xlfn.CEILING.MATH(G13*3*1.1 ,J13)</f>
        <v>10</v>
      </c>
      <c r="M13" s="10" t="n">
        <f aca="false">K13*L13</f>
        <v>0.84</v>
      </c>
      <c r="N13" s="11" t="s">
        <v>79</v>
      </c>
      <c r="O13" s="11"/>
      <c r="P13" s="11"/>
    </row>
    <row r="14" customFormat="false" ht="12.8" hidden="false" customHeight="false" outlineLevel="0" collapsed="false">
      <c r="A14" s="1" t="n">
        <v>13</v>
      </c>
      <c r="B14" s="2" t="s">
        <v>80</v>
      </c>
      <c r="C14" s="2" t="s">
        <v>81</v>
      </c>
      <c r="D14" s="2" t="s">
        <v>66</v>
      </c>
      <c r="E14" s="13" t="s">
        <v>82</v>
      </c>
      <c r="G14" s="1" t="n">
        <v>1</v>
      </c>
      <c r="H14" s="13" t="s">
        <v>83</v>
      </c>
      <c r="I14" s="2" t="s">
        <v>84</v>
      </c>
      <c r="J14" s="1" t="n">
        <v>10</v>
      </c>
      <c r="K14" s="8" t="n">
        <v>0.012</v>
      </c>
      <c r="L14" s="9" t="n">
        <f aca="false">_xlfn.CEILING.MATH(G14*3*1.1 ,J14)</f>
        <v>10</v>
      </c>
      <c r="M14" s="10" t="n">
        <f aca="false">K14*L14</f>
        <v>0.12</v>
      </c>
      <c r="O14" s="11"/>
      <c r="P14" s="11"/>
    </row>
    <row r="15" customFormat="false" ht="12.8" hidden="false" customHeight="false" outlineLevel="0" collapsed="false">
      <c r="A15" s="1" t="n">
        <v>14</v>
      </c>
      <c r="B15" s="2" t="s">
        <v>85</v>
      </c>
      <c r="C15" s="2" t="s">
        <v>86</v>
      </c>
      <c r="D15" s="2" t="s">
        <v>87</v>
      </c>
      <c r="E15" s="13" t="s">
        <v>88</v>
      </c>
      <c r="G15" s="1" t="n">
        <v>8</v>
      </c>
      <c r="H15" s="13" t="s">
        <v>89</v>
      </c>
      <c r="I15" s="2" t="s">
        <v>90</v>
      </c>
      <c r="J15" s="1" t="n">
        <v>10</v>
      </c>
      <c r="K15" s="8" t="n">
        <v>0.179</v>
      </c>
      <c r="L15" s="9" t="n">
        <f aca="false">_xlfn.CEILING.MATH(G15*3*1.1 ,J15)</f>
        <v>30</v>
      </c>
      <c r="M15" s="10" t="n">
        <f aca="false">K15*L15</f>
        <v>5.37</v>
      </c>
    </row>
    <row r="16" customFormat="false" ht="12.8" hidden="false" customHeight="false" outlineLevel="0" collapsed="false">
      <c r="A16" s="1" t="n">
        <v>15</v>
      </c>
      <c r="B16" s="15" t="s">
        <v>91</v>
      </c>
      <c r="C16" s="16" t="s">
        <v>92</v>
      </c>
      <c r="D16" s="16" t="s">
        <v>87</v>
      </c>
      <c r="E16" s="17" t="s">
        <v>93</v>
      </c>
      <c r="F16" s="16"/>
      <c r="G16" s="15" t="n">
        <v>8</v>
      </c>
      <c r="H16" s="17" t="s">
        <v>94</v>
      </c>
      <c r="K16" s="8"/>
      <c r="L16" s="9"/>
      <c r="M16" s="10"/>
    </row>
    <row r="17" customFormat="false" ht="12.8" hidden="false" customHeight="false" outlineLevel="0" collapsed="false">
      <c r="A17" s="1" t="n">
        <v>16</v>
      </c>
      <c r="B17" s="2" t="s">
        <v>95</v>
      </c>
      <c r="C17" s="2" t="s">
        <v>96</v>
      </c>
      <c r="D17" s="2" t="s">
        <v>66</v>
      </c>
      <c r="F17" s="12" t="s">
        <v>97</v>
      </c>
      <c r="G17" s="1" t="n">
        <v>1</v>
      </c>
      <c r="I17" s="12" t="s">
        <v>98</v>
      </c>
      <c r="J17" s="1" t="n">
        <v>10</v>
      </c>
      <c r="K17" s="8" t="n">
        <v>0.041</v>
      </c>
      <c r="L17" s="9" t="n">
        <f aca="false">_xlfn.CEILING.MATH(G17*3*1.1 ,J17)</f>
        <v>10</v>
      </c>
      <c r="M17" s="10" t="n">
        <f aca="false">K17*L17</f>
        <v>0.41</v>
      </c>
      <c r="O17" s="11"/>
      <c r="P17" s="11"/>
    </row>
    <row r="18" customFormat="false" ht="12.8" hidden="false" customHeight="false" outlineLevel="0" collapsed="false">
      <c r="A18" s="1" t="n">
        <v>17</v>
      </c>
      <c r="B18" s="2" t="s">
        <v>99</v>
      </c>
      <c r="C18" s="2" t="s">
        <v>100</v>
      </c>
      <c r="D18" s="2" t="s">
        <v>101</v>
      </c>
      <c r="E18" s="14" t="s">
        <v>102</v>
      </c>
      <c r="G18" s="1" t="n">
        <v>2</v>
      </c>
      <c r="H18" s="11" t="s">
        <v>103</v>
      </c>
      <c r="I18" s="11" t="s">
        <v>104</v>
      </c>
      <c r="J18" s="9" t="n">
        <v>10</v>
      </c>
      <c r="K18" s="10" t="n">
        <v>0.119</v>
      </c>
      <c r="L18" s="9" t="n">
        <f aca="false">_xlfn.CEILING.MATH(G18*3*1.1 ,J18)</f>
        <v>10</v>
      </c>
      <c r="M18" s="10" t="n">
        <f aca="false">K18*L18</f>
        <v>1.19</v>
      </c>
      <c r="N18" s="11" t="s">
        <v>105</v>
      </c>
    </row>
    <row r="19" customFormat="false" ht="12.8" hidden="false" customHeight="false" outlineLevel="0" collapsed="false">
      <c r="A19" s="1" t="n">
        <v>18</v>
      </c>
      <c r="B19" s="2" t="s">
        <v>106</v>
      </c>
      <c r="C19" s="2" t="s">
        <v>107</v>
      </c>
      <c r="D19" s="2" t="s">
        <v>66</v>
      </c>
      <c r="F19" s="14" t="s">
        <v>108</v>
      </c>
      <c r="G19" s="1" t="n">
        <v>4</v>
      </c>
      <c r="I19" s="11" t="s">
        <v>109</v>
      </c>
      <c r="J19" s="9" t="n">
        <v>10</v>
      </c>
      <c r="K19" s="10" t="n">
        <v>0.052</v>
      </c>
      <c r="L19" s="9" t="n">
        <f aca="false">_xlfn.CEILING.MATH(G19*3*1.1 ,J19)</f>
        <v>20</v>
      </c>
      <c r="M19" s="10" t="n">
        <f aca="false">K19*L19</f>
        <v>1.04</v>
      </c>
      <c r="N19" s="11" t="s">
        <v>110</v>
      </c>
    </row>
    <row r="20" customFormat="false" ht="12.8" hidden="false" customHeight="false" outlineLevel="0" collapsed="false">
      <c r="A20" s="1" t="n">
        <v>19</v>
      </c>
      <c r="B20" s="2" t="s">
        <v>111</v>
      </c>
      <c r="C20" s="2" t="s">
        <v>112</v>
      </c>
      <c r="D20" s="2" t="s">
        <v>66</v>
      </c>
      <c r="E20" s="13" t="s">
        <v>113</v>
      </c>
      <c r="G20" s="1" t="n">
        <v>2</v>
      </c>
      <c r="H20" s="13" t="s">
        <v>114</v>
      </c>
      <c r="I20" s="2" t="s">
        <v>115</v>
      </c>
      <c r="J20" s="1" t="n">
        <v>10</v>
      </c>
      <c r="K20" s="8" t="n">
        <v>0.01</v>
      </c>
      <c r="L20" s="9" t="n">
        <f aca="false">_xlfn.CEILING.MATH(G20*3*1.1 ,J20)</f>
        <v>10</v>
      </c>
      <c r="M20" s="10" t="n">
        <f aca="false">K20*L20</f>
        <v>0.1</v>
      </c>
      <c r="O20" s="11"/>
      <c r="P20" s="11"/>
    </row>
    <row r="21" customFormat="false" ht="12.8" hidden="false" customHeight="false" outlineLevel="0" collapsed="false">
      <c r="A21" s="1" t="n">
        <v>20</v>
      </c>
      <c r="B21" s="2" t="s">
        <v>116</v>
      </c>
      <c r="C21" s="2" t="s">
        <v>117</v>
      </c>
      <c r="D21" s="2" t="s">
        <v>118</v>
      </c>
      <c r="E21" s="14" t="s">
        <v>119</v>
      </c>
      <c r="F21" s="18"/>
      <c r="G21" s="1" t="n">
        <v>2</v>
      </c>
      <c r="H21" s="19" t="s">
        <v>120</v>
      </c>
      <c r="I21" s="11" t="s">
        <v>121</v>
      </c>
      <c r="J21" s="9" t="n">
        <v>10</v>
      </c>
      <c r="K21" s="10" t="n">
        <v>1.27</v>
      </c>
      <c r="L21" s="9" t="n">
        <f aca="false">_xlfn.CEILING.MATH(G21*3*1.1 ,J21)</f>
        <v>10</v>
      </c>
      <c r="M21" s="10" t="n">
        <f aca="false">K21*L21</f>
        <v>12.7</v>
      </c>
      <c r="N21" s="11"/>
    </row>
    <row r="22" customFormat="false" ht="12.8" hidden="false" customHeight="false" outlineLevel="0" collapsed="false">
      <c r="A22" s="1" t="n">
        <v>21</v>
      </c>
      <c r="B22" s="20" t="s">
        <v>122</v>
      </c>
      <c r="C22" s="11" t="s">
        <v>123</v>
      </c>
      <c r="E22" s="14" t="s">
        <v>124</v>
      </c>
      <c r="F22" s="14" t="s">
        <v>125</v>
      </c>
      <c r="G22" s="1" t="n">
        <v>2</v>
      </c>
      <c r="H22" s="11" t="s">
        <v>126</v>
      </c>
      <c r="I22" s="11" t="s">
        <v>127</v>
      </c>
      <c r="J22" s="9" t="n">
        <v>10</v>
      </c>
      <c r="K22" s="10" t="n">
        <v>0.89</v>
      </c>
      <c r="L22" s="9" t="n">
        <f aca="false">_xlfn.CEILING.MATH(G22*3*1.1 ,J22)</f>
        <v>10</v>
      </c>
      <c r="M22" s="10" t="n">
        <f aca="false">K22*L22</f>
        <v>8.9</v>
      </c>
      <c r="N22" s="11"/>
    </row>
    <row r="23" customFormat="false" ht="12.8" hidden="false" customHeight="false" outlineLevel="0" collapsed="false">
      <c r="A23" s="1" t="n">
        <v>24</v>
      </c>
      <c r="B23" s="2" t="s">
        <v>128</v>
      </c>
      <c r="C23" s="2" t="s">
        <v>129</v>
      </c>
      <c r="E23" s="13" t="s">
        <v>130</v>
      </c>
      <c r="G23" s="1" t="n">
        <v>1</v>
      </c>
      <c r="H23" s="2" t="s">
        <v>131</v>
      </c>
      <c r="I23" s="11" t="s">
        <v>132</v>
      </c>
      <c r="J23" s="9" t="n">
        <v>1</v>
      </c>
      <c r="K23" s="10" t="n">
        <v>1.95</v>
      </c>
      <c r="L23" s="9" t="n">
        <f aca="false">_xlfn.CEILING.MATH(G23*3*1.1 ,J23)</f>
        <v>4</v>
      </c>
      <c r="M23" s="10" t="n">
        <f aca="false">K23*L23</f>
        <v>7.8</v>
      </c>
      <c r="N23" s="11"/>
      <c r="O23" s="11"/>
      <c r="P23" s="11"/>
    </row>
    <row r="24" customFormat="false" ht="12.8" hidden="false" customHeight="false" outlineLevel="0" collapsed="false">
      <c r="A24" s="1" t="n">
        <v>25</v>
      </c>
      <c r="B24" s="2" t="s">
        <v>133</v>
      </c>
      <c r="C24" s="2" t="s">
        <v>134</v>
      </c>
      <c r="D24" s="2" t="s">
        <v>135</v>
      </c>
      <c r="E24" s="14" t="s">
        <v>136</v>
      </c>
      <c r="G24" s="1" t="n">
        <v>2</v>
      </c>
      <c r="H24" s="11" t="s">
        <v>137</v>
      </c>
      <c r="I24" s="11" t="s">
        <v>138</v>
      </c>
      <c r="J24" s="9" t="n">
        <v>1</v>
      </c>
      <c r="K24" s="10" t="n">
        <v>1.255</v>
      </c>
      <c r="L24" s="9" t="n">
        <f aca="false">_xlfn.CEILING.MATH(G24*3*1.1 ,J24)</f>
        <v>7</v>
      </c>
      <c r="M24" s="10" t="n">
        <f aca="false">K24*L24</f>
        <v>8.785</v>
      </c>
      <c r="N24" s="11" t="s">
        <v>139</v>
      </c>
      <c r="O24" s="11"/>
      <c r="P24" s="11"/>
    </row>
    <row r="25" customFormat="false" ht="12.8" hidden="false" customHeight="false" outlineLevel="0" collapsed="false">
      <c r="A25" s="1" t="n">
        <v>26</v>
      </c>
      <c r="B25" s="2" t="s">
        <v>140</v>
      </c>
      <c r="C25" s="2" t="s">
        <v>141</v>
      </c>
      <c r="D25" s="2" t="s">
        <v>142</v>
      </c>
      <c r="E25" s="14" t="s">
        <v>143</v>
      </c>
      <c r="F25" s="14" t="s">
        <v>144</v>
      </c>
      <c r="G25" s="1" t="n">
        <v>2</v>
      </c>
      <c r="H25" s="11" t="s">
        <v>145</v>
      </c>
      <c r="I25" s="11" t="s">
        <v>146</v>
      </c>
      <c r="J25" s="9" t="n">
        <v>1</v>
      </c>
      <c r="K25" s="10" t="n">
        <v>1.41</v>
      </c>
      <c r="L25" s="9" t="n">
        <f aca="false">_xlfn.CEILING.MATH(G25*3*1.1 ,J25)</f>
        <v>7</v>
      </c>
      <c r="M25" s="10" t="n">
        <f aca="false">K25*L25</f>
        <v>9.87</v>
      </c>
      <c r="N25" s="11" t="s">
        <v>147</v>
      </c>
      <c r="O25" s="11"/>
      <c r="P25" s="11"/>
    </row>
    <row r="26" customFormat="false" ht="12.8" hidden="false" customHeight="false" outlineLevel="0" collapsed="false">
      <c r="A26" s="1" t="n">
        <v>27</v>
      </c>
      <c r="B26" s="2" t="s">
        <v>148</v>
      </c>
      <c r="C26" s="2" t="s">
        <v>149</v>
      </c>
      <c r="D26" s="2" t="s">
        <v>150</v>
      </c>
      <c r="E26" s="21" t="s">
        <v>151</v>
      </c>
      <c r="G26" s="1" t="n">
        <v>1</v>
      </c>
      <c r="H26" s="11" t="s">
        <v>152</v>
      </c>
      <c r="I26" s="11" t="s">
        <v>153</v>
      </c>
      <c r="J26" s="9" t="n">
        <v>10</v>
      </c>
      <c r="K26" s="10" t="n">
        <v>0.389</v>
      </c>
      <c r="L26" s="9" t="n">
        <f aca="false">_xlfn.CEILING.MATH(G26*3*1.1 ,J26)</f>
        <v>10</v>
      </c>
      <c r="M26" s="10" t="n">
        <f aca="false">K26*L26</f>
        <v>3.89</v>
      </c>
      <c r="N26" s="11"/>
      <c r="O26" s="11"/>
      <c r="P26" s="11"/>
    </row>
    <row r="27" customFormat="false" ht="12.8" hidden="false" customHeight="true" outlineLevel="0" collapsed="false">
      <c r="A27" s="1" t="n">
        <v>28</v>
      </c>
      <c r="B27" s="2" t="s">
        <v>154</v>
      </c>
      <c r="C27" s="2" t="s">
        <v>155</v>
      </c>
      <c r="D27" s="2" t="s">
        <v>156</v>
      </c>
      <c r="F27" s="14" t="s">
        <v>157</v>
      </c>
      <c r="G27" s="1" t="n">
        <v>1</v>
      </c>
      <c r="I27" s="11" t="s">
        <v>158</v>
      </c>
      <c r="J27" s="9" t="n">
        <v>1</v>
      </c>
      <c r="K27" s="10" t="n">
        <v>3.39</v>
      </c>
      <c r="L27" s="9" t="n">
        <f aca="false">_xlfn.CEILING.MATH(G27*3*1.1 ,J27)</f>
        <v>4</v>
      </c>
      <c r="M27" s="10" t="n">
        <f aca="false">K27*L27</f>
        <v>13.56</v>
      </c>
      <c r="N27" s="22" t="s">
        <v>159</v>
      </c>
    </row>
    <row r="28" customFormat="false" ht="12.8" hidden="false" customHeight="false" outlineLevel="0" collapsed="false">
      <c r="A28" s="1" t="n">
        <v>29</v>
      </c>
      <c r="B28" s="2" t="s">
        <v>160</v>
      </c>
      <c r="C28" s="2" t="s">
        <v>161</v>
      </c>
      <c r="D28" s="2" t="s">
        <v>156</v>
      </c>
      <c r="F28" s="14" t="s">
        <v>162</v>
      </c>
      <c r="G28" s="1" t="n">
        <v>1</v>
      </c>
      <c r="I28" s="11" t="s">
        <v>163</v>
      </c>
      <c r="J28" s="9" t="n">
        <v>1</v>
      </c>
      <c r="K28" s="10" t="n">
        <v>1.46</v>
      </c>
      <c r="L28" s="9" t="n">
        <f aca="false">_xlfn.CEILING.MATH(G28*3*1.1 ,J28)</f>
        <v>4</v>
      </c>
      <c r="M28" s="10" t="n">
        <f aca="false">K28*L28</f>
        <v>5.84</v>
      </c>
      <c r="N28" s="22"/>
    </row>
    <row r="29" customFormat="false" ht="12.8" hidden="false" customHeight="false" outlineLevel="0" collapsed="false">
      <c r="A29" s="1" t="n">
        <v>30</v>
      </c>
      <c r="B29" s="2" t="s">
        <v>164</v>
      </c>
      <c r="C29" s="2" t="s">
        <v>165</v>
      </c>
      <c r="D29" s="2" t="s">
        <v>156</v>
      </c>
      <c r="F29" s="14" t="s">
        <v>166</v>
      </c>
      <c r="G29" s="1" t="n">
        <v>1</v>
      </c>
      <c r="I29" s="11" t="s">
        <v>167</v>
      </c>
      <c r="J29" s="9" t="n">
        <v>1</v>
      </c>
      <c r="K29" s="10" t="n">
        <v>3.39</v>
      </c>
      <c r="L29" s="9" t="n">
        <f aca="false">_xlfn.CEILING.MATH(G29*3*1.1 ,J29)</f>
        <v>4</v>
      </c>
      <c r="M29" s="10" t="n">
        <f aca="false">K29*L29</f>
        <v>13.56</v>
      </c>
      <c r="N29" s="22"/>
    </row>
    <row r="30" customFormat="false" ht="12.8" hidden="false" customHeight="false" outlineLevel="0" collapsed="false">
      <c r="A30" s="1" t="n">
        <v>31</v>
      </c>
      <c r="B30" s="2" t="s">
        <v>168</v>
      </c>
      <c r="C30" s="2" t="s">
        <v>169</v>
      </c>
      <c r="D30" s="2" t="s">
        <v>170</v>
      </c>
      <c r="E30" s="2" t="s">
        <v>171</v>
      </c>
      <c r="F30" s="2" t="s">
        <v>172</v>
      </c>
      <c r="G30" s="1" t="n">
        <v>2</v>
      </c>
      <c r="I30" s="2" t="s">
        <v>173</v>
      </c>
      <c r="J30" s="1" t="n">
        <v>10</v>
      </c>
      <c r="K30" s="8" t="n">
        <v>2.94</v>
      </c>
      <c r="L30" s="9" t="n">
        <f aca="false">_xlfn.CEILING.MATH(G30*3*1.1 ,J30)</f>
        <v>10</v>
      </c>
      <c r="M30" s="10" t="n">
        <f aca="false">K30*L30</f>
        <v>29.4</v>
      </c>
    </row>
    <row r="31" customFormat="false" ht="12.8" hidden="false" customHeight="false" outlineLevel="0" collapsed="false">
      <c r="A31" s="1" t="n">
        <v>32</v>
      </c>
      <c r="B31" s="2" t="s">
        <v>174</v>
      </c>
      <c r="C31" s="2" t="s">
        <v>175</v>
      </c>
      <c r="D31" s="2" t="s">
        <v>176</v>
      </c>
      <c r="E31" s="14" t="s">
        <v>177</v>
      </c>
      <c r="G31" s="1" t="n">
        <v>2</v>
      </c>
      <c r="H31" s="11" t="s">
        <v>178</v>
      </c>
      <c r="I31" s="11" t="s">
        <v>179</v>
      </c>
      <c r="J31" s="9" t="n">
        <v>1</v>
      </c>
      <c r="K31" s="10" t="n">
        <v>5.33</v>
      </c>
      <c r="L31" s="9" t="n">
        <f aca="false">_xlfn.CEILING.MATH(G31*3*1.1 ,J31)</f>
        <v>7</v>
      </c>
      <c r="M31" s="10" t="n">
        <f aca="false">K31*L31</f>
        <v>37.31</v>
      </c>
      <c r="N31" s="11"/>
      <c r="O31" s="11"/>
      <c r="P31" s="11"/>
    </row>
    <row r="32" customFormat="false" ht="12.8" hidden="false" customHeight="false" outlineLevel="0" collapsed="false">
      <c r="A32" s="1" t="n">
        <v>33</v>
      </c>
      <c r="B32" s="2" t="s">
        <v>180</v>
      </c>
      <c r="C32" s="2" t="s">
        <v>181</v>
      </c>
      <c r="D32" s="2" t="s">
        <v>176</v>
      </c>
      <c r="E32" s="14" t="s">
        <v>182</v>
      </c>
      <c r="G32" s="1" t="n">
        <v>2</v>
      </c>
      <c r="H32" s="11" t="s">
        <v>183</v>
      </c>
      <c r="I32" s="11" t="s">
        <v>184</v>
      </c>
      <c r="J32" s="9" t="n">
        <v>1</v>
      </c>
      <c r="K32" s="10" t="n">
        <v>6.06</v>
      </c>
      <c r="L32" s="9" t="n">
        <f aca="false">_xlfn.CEILING.MATH(G32*3*1.1 ,J32)</f>
        <v>7</v>
      </c>
      <c r="M32" s="10" t="n">
        <f aca="false">K32*L32</f>
        <v>42.42</v>
      </c>
      <c r="N32" s="11"/>
      <c r="O32" s="11"/>
      <c r="P32" s="11"/>
    </row>
    <row r="33" customFormat="false" ht="12.8" hidden="false" customHeight="false" outlineLevel="0" collapsed="false">
      <c r="A33" s="1" t="n">
        <v>34</v>
      </c>
      <c r="B33" s="2" t="s">
        <v>185</v>
      </c>
      <c r="C33" s="2" t="s">
        <v>186</v>
      </c>
      <c r="D33" s="2" t="s">
        <v>187</v>
      </c>
      <c r="E33" s="14" t="s">
        <v>188</v>
      </c>
      <c r="G33" s="1" t="n">
        <v>3</v>
      </c>
      <c r="H33" s="11" t="s">
        <v>189</v>
      </c>
      <c r="I33" s="11" t="s">
        <v>190</v>
      </c>
      <c r="J33" s="9" t="n">
        <v>10</v>
      </c>
      <c r="K33" s="10" t="n">
        <v>0.256</v>
      </c>
      <c r="L33" s="9" t="n">
        <f aca="false">_xlfn.CEILING.MATH(G33*3*1.1 ,J33)</f>
        <v>10</v>
      </c>
      <c r="M33" s="10" t="n">
        <f aca="false">K33*L33</f>
        <v>2.56</v>
      </c>
      <c r="N33" s="11"/>
      <c r="O33" s="11"/>
      <c r="P33" s="11"/>
    </row>
    <row r="34" customFormat="false" ht="12.8" hidden="false" customHeight="false" outlineLevel="0" collapsed="false">
      <c r="A34" s="1" t="n">
        <v>35</v>
      </c>
      <c r="B34" s="2" t="s">
        <v>191</v>
      </c>
      <c r="C34" s="2" t="s">
        <v>192</v>
      </c>
      <c r="D34" s="2" t="s">
        <v>187</v>
      </c>
      <c r="E34" s="14" t="s">
        <v>193</v>
      </c>
      <c r="G34" s="1" t="n">
        <v>3</v>
      </c>
      <c r="H34" s="11" t="s">
        <v>194</v>
      </c>
      <c r="I34" s="11" t="s">
        <v>195</v>
      </c>
      <c r="J34" s="9" t="n">
        <v>10</v>
      </c>
      <c r="K34" s="10" t="n">
        <v>0.256</v>
      </c>
      <c r="L34" s="9" t="n">
        <f aca="false">_xlfn.CEILING.MATH(G34*3*1.1 ,J34)</f>
        <v>10</v>
      </c>
      <c r="M34" s="10" t="n">
        <f aca="false">K34*L34</f>
        <v>2.56</v>
      </c>
    </row>
    <row r="35" customFormat="false" ht="12.8" hidden="false" customHeight="false" outlineLevel="0" collapsed="false">
      <c r="A35" s="1" t="n">
        <v>36</v>
      </c>
      <c r="B35" s="2" t="s">
        <v>196</v>
      </c>
      <c r="C35" s="2" t="s">
        <v>197</v>
      </c>
      <c r="D35" s="2" t="s">
        <v>187</v>
      </c>
      <c r="E35" s="14" t="s">
        <v>198</v>
      </c>
      <c r="G35" s="1" t="n">
        <v>2</v>
      </c>
      <c r="H35" s="11" t="s">
        <v>199</v>
      </c>
      <c r="I35" s="11" t="s">
        <v>200</v>
      </c>
      <c r="J35" s="9" t="n">
        <v>10</v>
      </c>
      <c r="K35" s="10" t="n">
        <v>0.203</v>
      </c>
      <c r="L35" s="9" t="n">
        <f aca="false">_xlfn.CEILING.MATH(G35*3*1.1 ,J35)</f>
        <v>10</v>
      </c>
      <c r="M35" s="10" t="n">
        <f aca="false">K35*L35</f>
        <v>2.03</v>
      </c>
    </row>
    <row r="36" customFormat="false" ht="12.8" hidden="false" customHeight="false" outlineLevel="0" collapsed="false">
      <c r="A36" s="2" t="n">
        <v>37</v>
      </c>
      <c r="B36" s="2" t="s">
        <v>201</v>
      </c>
      <c r="C36" s="2" t="s">
        <v>202</v>
      </c>
      <c r="D36" s="2" t="s">
        <v>187</v>
      </c>
      <c r="E36" s="14" t="s">
        <v>203</v>
      </c>
      <c r="G36" s="1" t="n">
        <v>1</v>
      </c>
      <c r="H36" s="11" t="s">
        <v>204</v>
      </c>
      <c r="I36" s="11" t="s">
        <v>205</v>
      </c>
      <c r="J36" s="9" t="n">
        <v>10</v>
      </c>
      <c r="K36" s="10" t="n">
        <v>0.202</v>
      </c>
      <c r="L36" s="9" t="n">
        <f aca="false">_xlfn.CEILING.MATH(G36*3*1.1 ,J36)</f>
        <v>10</v>
      </c>
      <c r="M36" s="10" t="n">
        <f aca="false">K36*L36</f>
        <v>2.02</v>
      </c>
    </row>
    <row r="37" customFormat="false" ht="12.8" hidden="false" customHeight="false" outlineLevel="0" collapsed="false">
      <c r="G37" s="2"/>
    </row>
    <row r="38" customFormat="false" ht="12.8" hidden="false" customHeight="false" outlineLevel="0" collapsed="false">
      <c r="G38" s="2"/>
    </row>
    <row r="39" customFormat="false" ht="12.8" hidden="false" customHeight="false" outlineLevel="0" collapsed="false">
      <c r="G39" s="2"/>
    </row>
    <row r="40" customFormat="false" ht="12.8" hidden="false" customHeight="false" outlineLevel="0" collapsed="false">
      <c r="L40" s="23" t="s">
        <v>206</v>
      </c>
      <c r="M40" s="24" t="n">
        <f aca="false">SUM(M2:M36)</f>
        <v>423.298</v>
      </c>
    </row>
  </sheetData>
  <mergeCells count="1">
    <mergeCell ref="N27:N29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2026-03-05T13:23:49Z</dcterms:created>
  <dc:creator/>
  <dc:description/>
  <dc:language>en-US</dc:language>
  <cp:lastModifiedBy/>
  <dcterms:modified xsi:type="dcterms:W3CDTF">2026-03-25T14:43:21Z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