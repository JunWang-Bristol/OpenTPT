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georgeslama/Library/CloudStorage/Dropbox/SlamaTech/Projects/ST2402 Triple Pulse/Hardware/"/>
    </mc:Choice>
  </mc:AlternateContent>
  <xr:revisionPtr revIDLastSave="0" documentId="13_ncr:1_{876B6DD0-CDC9-AA4F-A358-0DF820CFF8B5}" xr6:coauthVersionLast="47" xr6:coauthVersionMax="47" xr10:uidLastSave="{00000000-0000-0000-0000-000000000000}"/>
  <bookViews>
    <workbookView xWindow="-40" yWindow="-20100" windowWidth="22960" windowHeight="17740" xr2:uid="{50C66C16-6188-47EB-A7C5-4A254F40730F}"/>
  </bookViews>
  <sheets>
    <sheet name="ST2402 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41" i="1"/>
  <c r="H42" i="1"/>
  <c r="H43" i="1"/>
  <c r="H44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45" i="1"/>
  <c r="H47" i="1"/>
  <c r="H28" i="1"/>
  <c r="H29" i="1"/>
  <c r="H30" i="1"/>
  <c r="H31" i="1"/>
  <c r="H32" i="1"/>
  <c r="H33" i="1"/>
  <c r="H34" i="1"/>
  <c r="H35" i="1"/>
  <c r="H36" i="1"/>
  <c r="H37" i="1"/>
  <c r="H38" i="1"/>
  <c r="H39" i="1"/>
  <c r="H49" i="1"/>
  <c r="H2" i="1"/>
  <c r="H51" i="1" l="1"/>
</calcChain>
</file>

<file path=xl/sharedStrings.xml><?xml version="1.0" encoding="utf-8"?>
<sst xmlns="http://schemas.openxmlformats.org/spreadsheetml/2006/main" count="214" uniqueCount="202">
  <si>
    <t>Reference</t>
  </si>
  <si>
    <t>Value</t>
  </si>
  <si>
    <t>Footprint</t>
  </si>
  <si>
    <t>Qty</t>
  </si>
  <si>
    <t>DNP</t>
  </si>
  <si>
    <t>C1,C6</t>
  </si>
  <si>
    <t>Capacitor_SMD:C_0805_2012Metric</t>
  </si>
  <si>
    <t>C2</t>
  </si>
  <si>
    <t>Capacitor_SMD:C_1206_3216Metric</t>
  </si>
  <si>
    <t>C3,C4,C5</t>
  </si>
  <si>
    <t>220nF/50V</t>
  </si>
  <si>
    <t>C7</t>
  </si>
  <si>
    <t>C8,C9</t>
  </si>
  <si>
    <t>C10,C11,C13,C14</t>
  </si>
  <si>
    <t>Capacitor_THT:CP_Radial_D30.0mm_P10.00mm_SnapIn</t>
  </si>
  <si>
    <t>C12,C15,C16,C17</t>
  </si>
  <si>
    <t>Capacitor_THT:C_Rect_L18.0mm_W11.0mm_P15.00mm_FKS3_FKP3</t>
  </si>
  <si>
    <t>C18,C19,C20,C21</t>
  </si>
  <si>
    <t>10uF 50V</t>
  </si>
  <si>
    <t>Capacitor_SMD:C_1210_3225Metric</t>
  </si>
  <si>
    <t>30V,2A</t>
  </si>
  <si>
    <t>Diode_SMD:D_SMA</t>
  </si>
  <si>
    <t>F1,F2</t>
  </si>
  <si>
    <t>Fuse:Fuseholder_TR5_Littelfuse_No560_No460</t>
  </si>
  <si>
    <t>J1,J2</t>
  </si>
  <si>
    <t>Conn_02x19_Odd_Even</t>
  </si>
  <si>
    <t>Connector_PinHeader_2.54mm:PinHeader_2x19_P2.54mm_Vertical</t>
  </si>
  <si>
    <t>J3,J4</t>
  </si>
  <si>
    <t>Connector_PinHeader_2.54mm:PinHeader_1x08_P2.54mm_Vertical</t>
  </si>
  <si>
    <t>J5</t>
  </si>
  <si>
    <t>Connector_PinHeader_2.54mm:PinHeader_1x06_P2.54mm_Vertical</t>
  </si>
  <si>
    <t>J6</t>
  </si>
  <si>
    <t>Connector_PinHeader_2.54mm:PinHeader_1x10_P2.54mm_Vertical</t>
  </si>
  <si>
    <t>J7,J8</t>
  </si>
  <si>
    <t>Connector_PinHeader_2.54mm:PinHeader_1x02_P2.54mm_Vertical</t>
  </si>
  <si>
    <t>J9</t>
  </si>
  <si>
    <t>Screw_Terminal_01x02</t>
  </si>
  <si>
    <t>TerminalBlock:TerminalBlock_bornier-2_P5.08mm</t>
  </si>
  <si>
    <t>J11,J12</t>
  </si>
  <si>
    <t>Conn_02x02_Top_Bottom</t>
  </si>
  <si>
    <t>Connector_PinSocket_2.54mm:PinSocket_2x02_P2.54mm_Vertical</t>
  </si>
  <si>
    <t>J13,J19</t>
  </si>
  <si>
    <t>Conn_Coaxial</t>
  </si>
  <si>
    <t>Connector_Coaxial:BNC_Amphenol_B6252HB-NPP3G-50_Horizontal</t>
  </si>
  <si>
    <t>Screw_Terminal_01x01</t>
  </si>
  <si>
    <t>-- mixed values --</t>
  </si>
  <si>
    <t>J21,J22</t>
  </si>
  <si>
    <t>Conn_02x03_Top_Bottom</t>
  </si>
  <si>
    <t>Connector_PinHeader_2.54mm:PinHeader_2x03_P2.54mm_Vertical</t>
  </si>
  <si>
    <t>Q1,Q2</t>
  </si>
  <si>
    <t>STB100N10F7</t>
  </si>
  <si>
    <t>Package_TO_SOT_THT:TO-220-3_Vertical</t>
  </si>
  <si>
    <t>R1,R2,R3,R4,R5,R6,R7,R8</t>
  </si>
  <si>
    <t>Resistor_SMD:R_0805_2012Metric</t>
  </si>
  <si>
    <t>R9,R10</t>
  </si>
  <si>
    <t>Resistor_THT:R_Axial_DIN0309_L9.0mm_D3.2mm_P15.24mm_Horizontal</t>
  </si>
  <si>
    <t>R17</t>
  </si>
  <si>
    <t>1k</t>
  </si>
  <si>
    <t>R18</t>
  </si>
  <si>
    <t>R20</t>
  </si>
  <si>
    <t>10R</t>
  </si>
  <si>
    <t>Resistor_SMD:R_1206_3216Metric</t>
  </si>
  <si>
    <t>TestPoint</t>
  </si>
  <si>
    <t>U1</t>
  </si>
  <si>
    <t>L6494LD</t>
  </si>
  <si>
    <t>Package_SO:SO-14_3.9x8.65mm_P1.27mm</t>
  </si>
  <si>
    <t>Mouser</t>
  </si>
  <si>
    <t>Fuse holder</t>
  </si>
  <si>
    <t>Cxx</t>
  </si>
  <si>
    <t>5.5-40pF adj</t>
  </si>
  <si>
    <t>594-2222-808-31409</t>
  </si>
  <si>
    <t>Vendor</t>
  </si>
  <si>
    <t>Grayhill 29-100 BLK</t>
  </si>
  <si>
    <t>Grayhill 29-100 RED</t>
  </si>
  <si>
    <t>706-29-100RED</t>
  </si>
  <si>
    <t>706-29-100BLK</t>
  </si>
  <si>
    <t>Vishay BFC28031409</t>
  </si>
  <si>
    <t>576-56000001319</t>
  </si>
  <si>
    <t>Littelfuse #560, 6.3A</t>
  </si>
  <si>
    <t>1000uF, 200V</t>
  </si>
  <si>
    <t>Wurth 861141085021</t>
  </si>
  <si>
    <t>710-861141085021</t>
  </si>
  <si>
    <t>710-885012209073</t>
  </si>
  <si>
    <t>Wurth 885012209073</t>
  </si>
  <si>
    <t>80-60EI4470AA30J</t>
  </si>
  <si>
    <t>Kemet R60EI4470AA30J</t>
  </si>
  <si>
    <t>511-L6494LD</t>
  </si>
  <si>
    <t>511-STB100N10F7</t>
  </si>
  <si>
    <t>ST D2PAK</t>
  </si>
  <si>
    <t>Q1,Q3</t>
  </si>
  <si>
    <t>STP100N10F7</t>
  </si>
  <si>
    <t>511-STP100N10F7</t>
  </si>
  <si>
    <t>ST TO-220</t>
  </si>
  <si>
    <t>576-37416300000</t>
  </si>
  <si>
    <t>Fuse, 6.3 A, time lag</t>
  </si>
  <si>
    <t>Fuse, 6.3A, fast acting</t>
  </si>
  <si>
    <t>576-37316300410</t>
  </si>
  <si>
    <t>Littelfuse 37316300410</t>
  </si>
  <si>
    <t xml:space="preserve">Littelfuse </t>
  </si>
  <si>
    <t>571-227661-1</t>
  </si>
  <si>
    <t>227661-1</t>
  </si>
  <si>
    <t xml:space="preserve">TB006-508-02BE </t>
  </si>
  <si>
    <t xml:space="preserve">490-TB006-508-02BE </t>
  </si>
  <si>
    <t>Price /1</t>
  </si>
  <si>
    <t>Price /10</t>
  </si>
  <si>
    <t xml:space="preserve">710-885012007031 </t>
  </si>
  <si>
    <t>33pF/25V NPO</t>
  </si>
  <si>
    <t>10uF/50V X5R</t>
  </si>
  <si>
    <t xml:space="preserve">710-885012108022 </t>
  </si>
  <si>
    <t>710-885382207008</t>
  </si>
  <si>
    <t>R820, 1%, 0805</t>
  </si>
  <si>
    <t>667-ERJ-6DQFR82V</t>
  </si>
  <si>
    <t>ERJ-6DQFR82V</t>
  </si>
  <si>
    <t>0.152/0.068</t>
  </si>
  <si>
    <t>ERJ-6ENF1001V</t>
  </si>
  <si>
    <t>43k2</t>
  </si>
  <si>
    <t xml:space="preserve">ERJ-6ENF4322V </t>
  </si>
  <si>
    <t xml:space="preserve">667-ERJ-6ENF4322V </t>
  </si>
  <si>
    <t>667-ERJ-6ENF1001V</t>
  </si>
  <si>
    <t>.033/.015</t>
  </si>
  <si>
    <t>R21</t>
  </si>
  <si>
    <t>R22</t>
  </si>
  <si>
    <t>R19</t>
  </si>
  <si>
    <t>dead time</t>
  </si>
  <si>
    <t>hs off</t>
  </si>
  <si>
    <t>ls off</t>
  </si>
  <si>
    <t>boot starp</t>
  </si>
  <si>
    <t>gate</t>
  </si>
  <si>
    <t>603-CC126KKX7R9BB225</t>
  </si>
  <si>
    <t>CC126KKX7R9BB225</t>
  </si>
  <si>
    <t>2.2uF, 50V, X7R</t>
  </si>
  <si>
    <t>603-RSF100JB-73-3K</t>
  </si>
  <si>
    <t>RSF100JB-73-3K</t>
  </si>
  <si>
    <t>3k, 1W, axial, flameprrof</t>
  </si>
  <si>
    <t>.097/.059</t>
  </si>
  <si>
    <t>J15</t>
  </si>
  <si>
    <t>J17</t>
  </si>
  <si>
    <t>J16</t>
  </si>
  <si>
    <t>4mm, pcb, red</t>
  </si>
  <si>
    <t>4mm, pcb, blk</t>
  </si>
  <si>
    <t>4mm, pcb, blu</t>
  </si>
  <si>
    <t>J14,J18</t>
  </si>
  <si>
    <t>none</t>
  </si>
  <si>
    <t>200-SSQ11023GS</t>
  </si>
  <si>
    <t>Conn_01x08 socket, gold</t>
  </si>
  <si>
    <t>Conn_01x06 socket gold</t>
  </si>
  <si>
    <t>Conn_01x10 socket, gold</t>
  </si>
  <si>
    <t>Conn_01x02 socket, gold</t>
  </si>
  <si>
    <t>200-SSQ10202GS</t>
  </si>
  <si>
    <t>200-SSQ10203FD</t>
  </si>
  <si>
    <t xml:space="preserve">511-STPS2L30A </t>
  </si>
  <si>
    <t>D1,D2,D3</t>
  </si>
  <si>
    <t>loop, red</t>
  </si>
  <si>
    <t>loop, wht</t>
  </si>
  <si>
    <t>loop, org</t>
  </si>
  <si>
    <t>loop, yel</t>
  </si>
  <si>
    <t>loop, blk</t>
  </si>
  <si>
    <t>534-5000</t>
  </si>
  <si>
    <t>534-5001</t>
  </si>
  <si>
    <t>534-5002</t>
  </si>
  <si>
    <t>534-5003</t>
  </si>
  <si>
    <t>534-5004</t>
  </si>
  <si>
    <t>TP11</t>
  </si>
  <si>
    <t>TP16, TP18</t>
  </si>
  <si>
    <t>TP17, TP19</t>
  </si>
  <si>
    <t>TP1,TP2,TP3,TP8,TP9,TP10,TP12,TP13,TP14,TP15</t>
  </si>
  <si>
    <t>TP4,TP5 TP10,TP14</t>
  </si>
  <si>
    <t>4.7uF, 250V</t>
  </si>
  <si>
    <t>TP9,TP7</t>
  </si>
  <si>
    <t>TP13,TP15</t>
  </si>
  <si>
    <t>R23,R24</t>
  </si>
  <si>
    <t>RC0805FR-0710RL</t>
  </si>
  <si>
    <t>603-RC0805FR-0710RL</t>
  </si>
  <si>
    <t>ST L6494LD</t>
  </si>
  <si>
    <t>Keystone 5000</t>
  </si>
  <si>
    <t>Keystone 5002</t>
  </si>
  <si>
    <t>Keystone 5003</t>
  </si>
  <si>
    <t>Keystone 5004</t>
  </si>
  <si>
    <t>Keystone 5001</t>
  </si>
  <si>
    <t>Samtec SSQ11023GS</t>
  </si>
  <si>
    <t>Samtec SSQ10202GS</t>
  </si>
  <si>
    <t>Samtec SSQ10203FD</t>
  </si>
  <si>
    <t xml:space="preserve">ST STPS2L30A </t>
  </si>
  <si>
    <t xml:space="preserve">Wurth 885012007031 </t>
  </si>
  <si>
    <t xml:space="preserve">Wurth 885012108022 </t>
  </si>
  <si>
    <t>Wurth 885382207008</t>
  </si>
  <si>
    <t>200-SSQ10802GS</t>
  </si>
  <si>
    <t>Samtec SSQ10802GS</t>
  </si>
  <si>
    <t>200-SSQ10602GS</t>
  </si>
  <si>
    <t>Samtec SSQ10602GS</t>
  </si>
  <si>
    <t xml:space="preserve">200-SSQ11901GD </t>
  </si>
  <si>
    <t>Samtec SSQ11901GD</t>
  </si>
  <si>
    <t>200-SSQ10301GD</t>
  </si>
  <si>
    <t>Samtec SSQ10301GD</t>
  </si>
  <si>
    <t>548-BU-P3760-0</t>
  </si>
  <si>
    <t>548-BU-P3760-6</t>
  </si>
  <si>
    <t>BU-P3760-6</t>
  </si>
  <si>
    <t>BU-P3760-0</t>
  </si>
  <si>
    <t>5 way binding post, red</t>
  </si>
  <si>
    <t>5 way binding post, blk</t>
  </si>
  <si>
    <t>post, push type, red</t>
  </si>
  <si>
    <t>post, push type,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</si>
</sst>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3" tint="0.1499374370555742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>
      <alignment horizontal="left" vertical="center" wrapText="1" indent="1"/>
    </xf>
  </cellStyleXfs>
  <cellXfs count="14">
    <xf numFmtId="0" fontId="0" fillId="0" borderId="0" xfId="0"/>
    <xf numFmtId="0" fontId="16" fillId="0" borderId="10" xfId="0" applyFont="1" applyBorder="1"/>
    <xf numFmtId="2" fontId="16" fillId="0" borderId="10" xfId="0" applyNumberFormat="1" applyFont="1" applyBorder="1"/>
    <xf numFmtId="0" fontId="0" fillId="0" borderId="0" xfId="0" applyAlignment="1">
      <alignment vertical="center" wrapText="1"/>
    </xf>
    <xf numFmtId="49" fontId="16" fillId="0" borderId="10" xfId="0" applyNumberFormat="1" applyFont="1" applyBorder="1"/>
    <xf numFmtId="49" fontId="0" fillId="0" borderId="0" xfId="0" applyNumberFormat="1"/>
    <xf numFmtId="49" fontId="19" fillId="0" borderId="0" xfId="0" applyNumberFormat="1" applyFont="1" applyAlignment="1">
      <alignment vertical="center"/>
    </xf>
    <xf numFmtId="2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 applyAlignment="1">
      <alignment horizontal="right"/>
    </xf>
    <xf numFmtId="49" fontId="0" fillId="0" borderId="0" xfId="42" applyNumberFormat="1" applyFont="1" applyAlignment="1">
      <alignment vertical="center" wrapText="1"/>
    </xf>
    <xf numFmtId="49" fontId="0" fillId="0" borderId="0" xfId="42" applyNumberFormat="1" applyFont="1" applyAlignment="1">
      <alignment horizontal="left" vertical="center" wrapText="1"/>
    </xf>
    <xf numFmtId="49" fontId="0" fillId="33" borderId="0" xfId="0" applyNumberFormat="1" applyFill="1"/>
    <xf numFmtId="49" fontId="0" fillId="33" borderId="0" xfId="0" applyNumberFormat="1" applyFill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able details left aligned" xfId="42" xr:uid="{746FBAB6-358E-4576-B53D-A613CEC79009}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81A5-E39F-4FFB-9A0A-65FCC003BB1D}">
  <sheetPr codeName="Sheet1">
    <pageSetUpPr fitToPage="1"/>
  </sheetPr>
  <dimension ref="A1:L51"/>
  <sheetViews>
    <sheetView tabSelected="1" workbookViewId="0">
      <selection activeCell="D2" sqref="D2:D4"/>
    </sheetView>
  </sheetViews>
  <sheetFormatPr baseColWidth="10" defaultColWidth="8.83203125" defaultRowHeight="15" x14ac:dyDescent="0.2"/>
  <cols>
    <col min="1" max="1" width="21.83203125" customWidth="1"/>
    <col min="2" max="3" width="26" customWidth="1"/>
    <col min="4" max="4" width="28.5" style="5" customWidth="1"/>
    <col min="5" max="5" width="10.5" style="7" customWidth="1"/>
    <col min="6" max="6" width="11.5" style="7" customWidth="1"/>
    <col min="8" max="8" width="11.6640625" style="7" customWidth="1"/>
    <col min="9" max="9" width="4.5" style="7" customWidth="1"/>
    <col min="10" max="10" width="66.5" customWidth="1"/>
  </cols>
  <sheetData>
    <row r="1" spans="1:12" x14ac:dyDescent="0.2">
      <c r="A1" s="1" t="s">
        <v>0</v>
      </c>
      <c r="B1" s="1" t="s">
        <v>1</v>
      </c>
      <c r="C1" s="1" t="s">
        <v>66</v>
      </c>
      <c r="D1" s="4" t="s">
        <v>71</v>
      </c>
      <c r="E1" s="2" t="s">
        <v>103</v>
      </c>
      <c r="F1" s="2" t="s">
        <v>104</v>
      </c>
      <c r="G1" s="1" t="s">
        <v>3</v>
      </c>
      <c r="H1" s="2"/>
      <c r="I1" s="2"/>
      <c r="J1" s="1" t="s">
        <v>2</v>
      </c>
      <c r="L1" s="1" t="s">
        <v>4</v>
      </c>
    </row>
    <row r="2" spans="1:12" x14ac:dyDescent="0.2">
      <c r="A2" t="s">
        <v>5</v>
      </c>
      <c r="B2" t="s">
        <v>106</v>
      </c>
      <c r="C2" t="s">
        <v>105</v>
      </c>
      <c r="D2" s="13" t="s">
        <v>183</v>
      </c>
      <c r="E2" s="7">
        <v>0.1</v>
      </c>
      <c r="F2" s="7">
        <v>4.2999999999999997E-2</v>
      </c>
      <c r="G2">
        <v>2</v>
      </c>
      <c r="H2" s="7">
        <f>G2*E2</f>
        <v>0.2</v>
      </c>
      <c r="J2" t="s">
        <v>6</v>
      </c>
    </row>
    <row r="3" spans="1:12" x14ac:dyDescent="0.2">
      <c r="A3" t="s">
        <v>7</v>
      </c>
      <c r="B3" t="s">
        <v>107</v>
      </c>
      <c r="C3" t="s">
        <v>108</v>
      </c>
      <c r="D3" s="13" t="s">
        <v>184</v>
      </c>
      <c r="E3" s="7">
        <v>2.23</v>
      </c>
      <c r="F3" s="7">
        <v>2.08</v>
      </c>
      <c r="G3">
        <v>1</v>
      </c>
      <c r="H3" s="7">
        <f t="shared" ref="H3:H49" si="0">G3*E3</f>
        <v>2.23</v>
      </c>
      <c r="J3" t="s">
        <v>8</v>
      </c>
    </row>
    <row r="4" spans="1:12" x14ac:dyDescent="0.2">
      <c r="A4" t="s">
        <v>9</v>
      </c>
      <c r="B4" t="s">
        <v>10</v>
      </c>
      <c r="C4" t="s">
        <v>109</v>
      </c>
      <c r="D4" s="12" t="s">
        <v>185</v>
      </c>
      <c r="E4" s="7">
        <v>0.1</v>
      </c>
      <c r="F4" s="7">
        <v>9.9000000000000005E-2</v>
      </c>
      <c r="G4">
        <v>3</v>
      </c>
      <c r="H4" s="7">
        <f t="shared" si="0"/>
        <v>0.30000000000000004</v>
      </c>
      <c r="J4" t="s">
        <v>6</v>
      </c>
    </row>
    <row r="5" spans="1:12" x14ac:dyDescent="0.2">
      <c r="A5" t="s">
        <v>11</v>
      </c>
      <c r="B5" t="s">
        <v>130</v>
      </c>
      <c r="C5" t="s">
        <v>128</v>
      </c>
      <c r="D5" t="s">
        <v>129</v>
      </c>
      <c r="E5" s="7">
        <v>0.48</v>
      </c>
      <c r="F5" s="7">
        <v>0.25800000000000001</v>
      </c>
      <c r="G5">
        <v>1</v>
      </c>
      <c r="H5" s="7">
        <f t="shared" si="0"/>
        <v>0.48</v>
      </c>
      <c r="J5" t="s">
        <v>8</v>
      </c>
    </row>
    <row r="6" spans="1:12" x14ac:dyDescent="0.2">
      <c r="A6" t="s">
        <v>12</v>
      </c>
      <c r="C6" t="s">
        <v>127</v>
      </c>
      <c r="G6">
        <v>2</v>
      </c>
      <c r="H6" s="7">
        <f t="shared" si="0"/>
        <v>0</v>
      </c>
      <c r="J6" t="s">
        <v>6</v>
      </c>
    </row>
    <row r="7" spans="1:12" x14ac:dyDescent="0.2">
      <c r="A7" t="s">
        <v>13</v>
      </c>
      <c r="B7" t="s">
        <v>79</v>
      </c>
      <c r="C7" t="s">
        <v>81</v>
      </c>
      <c r="D7" s="12" t="s">
        <v>80</v>
      </c>
      <c r="E7" s="7">
        <v>6.3</v>
      </c>
      <c r="F7" s="7">
        <v>5.6</v>
      </c>
      <c r="G7">
        <v>4</v>
      </c>
      <c r="H7" s="7">
        <f t="shared" si="0"/>
        <v>25.2</v>
      </c>
      <c r="J7" t="s">
        <v>14</v>
      </c>
    </row>
    <row r="8" spans="1:12" x14ac:dyDescent="0.2">
      <c r="A8" t="s">
        <v>15</v>
      </c>
      <c r="B8" t="s">
        <v>167</v>
      </c>
      <c r="C8" t="s">
        <v>84</v>
      </c>
      <c r="D8" s="5" t="s">
        <v>85</v>
      </c>
      <c r="E8" s="7">
        <v>2.2400000000000002</v>
      </c>
      <c r="F8" s="7">
        <v>1.72</v>
      </c>
      <c r="G8">
        <v>4</v>
      </c>
      <c r="H8" s="7">
        <f t="shared" si="0"/>
        <v>8.9600000000000009</v>
      </c>
      <c r="J8" t="s">
        <v>16</v>
      </c>
    </row>
    <row r="9" spans="1:12" x14ac:dyDescent="0.2">
      <c r="A9" t="s">
        <v>17</v>
      </c>
      <c r="B9" t="s">
        <v>18</v>
      </c>
      <c r="C9" t="s">
        <v>82</v>
      </c>
      <c r="D9" s="12" t="s">
        <v>83</v>
      </c>
      <c r="E9" s="7">
        <v>1.98</v>
      </c>
      <c r="F9" s="7">
        <v>1.72</v>
      </c>
      <c r="G9">
        <v>4</v>
      </c>
      <c r="H9" s="7">
        <f t="shared" si="0"/>
        <v>7.92</v>
      </c>
      <c r="J9" t="s">
        <v>19</v>
      </c>
    </row>
    <row r="10" spans="1:12" x14ac:dyDescent="0.2">
      <c r="A10" t="s">
        <v>68</v>
      </c>
      <c r="B10" t="s">
        <v>69</v>
      </c>
      <c r="C10" t="s">
        <v>70</v>
      </c>
      <c r="D10" s="5" t="s">
        <v>76</v>
      </c>
      <c r="E10" s="7">
        <v>7.81</v>
      </c>
      <c r="F10" s="7">
        <v>5.51</v>
      </c>
      <c r="H10" s="7">
        <f t="shared" si="0"/>
        <v>0</v>
      </c>
    </row>
    <row r="11" spans="1:12" x14ac:dyDescent="0.2">
      <c r="A11" t="s">
        <v>151</v>
      </c>
      <c r="B11" t="s">
        <v>20</v>
      </c>
      <c r="C11" t="s">
        <v>150</v>
      </c>
      <c r="D11" t="s">
        <v>182</v>
      </c>
      <c r="E11" s="7">
        <v>0.37</v>
      </c>
      <c r="F11" s="7">
        <v>0.23899999999999999</v>
      </c>
      <c r="G11">
        <v>3</v>
      </c>
      <c r="H11" s="7">
        <f t="shared" si="0"/>
        <v>1.1099999999999999</v>
      </c>
      <c r="J11" t="s">
        <v>21</v>
      </c>
    </row>
    <row r="12" spans="1:12" x14ac:dyDescent="0.2">
      <c r="A12" t="s">
        <v>22</v>
      </c>
      <c r="B12" t="s">
        <v>94</v>
      </c>
      <c r="C12" t="s">
        <v>93</v>
      </c>
      <c r="D12" s="5" t="s">
        <v>98</v>
      </c>
      <c r="E12" s="7">
        <v>0.7</v>
      </c>
      <c r="F12" s="7">
        <v>0.64400000000000002</v>
      </c>
      <c r="G12">
        <v>2</v>
      </c>
      <c r="H12" s="7">
        <f t="shared" si="0"/>
        <v>1.4</v>
      </c>
      <c r="J12" t="s">
        <v>23</v>
      </c>
    </row>
    <row r="13" spans="1:12" ht="16" x14ac:dyDescent="0.2">
      <c r="B13" t="s">
        <v>95</v>
      </c>
      <c r="C13" s="3" t="s">
        <v>96</v>
      </c>
      <c r="D13" s="5" t="s">
        <v>97</v>
      </c>
      <c r="E13" s="7">
        <v>1.23</v>
      </c>
      <c r="F13" s="7">
        <v>1.1499999999999999</v>
      </c>
      <c r="H13" s="7">
        <f t="shared" si="0"/>
        <v>0</v>
      </c>
    </row>
    <row r="14" spans="1:12" x14ac:dyDescent="0.2">
      <c r="B14" t="s">
        <v>67</v>
      </c>
      <c r="C14" t="s">
        <v>77</v>
      </c>
      <c r="D14" s="5" t="s">
        <v>78</v>
      </c>
      <c r="E14" s="7">
        <v>0.88</v>
      </c>
      <c r="F14" s="7">
        <v>0.80600000000000005</v>
      </c>
      <c r="H14" s="7">
        <f t="shared" si="0"/>
        <v>0</v>
      </c>
    </row>
    <row r="15" spans="1:12" x14ac:dyDescent="0.2">
      <c r="A15" t="s">
        <v>24</v>
      </c>
      <c r="B15" t="s">
        <v>25</v>
      </c>
      <c r="C15" t="s">
        <v>190</v>
      </c>
      <c r="D15" t="s">
        <v>191</v>
      </c>
      <c r="E15" s="7">
        <v>5.01</v>
      </c>
      <c r="G15">
        <v>0</v>
      </c>
      <c r="H15" s="7">
        <f t="shared" si="0"/>
        <v>0</v>
      </c>
      <c r="J15" t="s">
        <v>26</v>
      </c>
    </row>
    <row r="16" spans="1:12" x14ac:dyDescent="0.2">
      <c r="A16" t="s">
        <v>27</v>
      </c>
      <c r="B16" t="s">
        <v>144</v>
      </c>
      <c r="C16" t="s">
        <v>186</v>
      </c>
      <c r="D16" t="s">
        <v>187</v>
      </c>
      <c r="E16" s="7">
        <v>1.99</v>
      </c>
      <c r="G16">
        <v>2</v>
      </c>
      <c r="H16" s="7">
        <f t="shared" si="0"/>
        <v>3.98</v>
      </c>
      <c r="J16" t="s">
        <v>28</v>
      </c>
    </row>
    <row r="17" spans="1:10" x14ac:dyDescent="0.2">
      <c r="A17" t="s">
        <v>29</v>
      </c>
      <c r="B17" t="s">
        <v>145</v>
      </c>
      <c r="C17" t="s">
        <v>188</v>
      </c>
      <c r="D17" t="s">
        <v>189</v>
      </c>
      <c r="E17" s="7">
        <v>1.72</v>
      </c>
      <c r="G17">
        <v>1</v>
      </c>
      <c r="H17" s="7">
        <f t="shared" si="0"/>
        <v>1.72</v>
      </c>
      <c r="J17" t="s">
        <v>30</v>
      </c>
    </row>
    <row r="18" spans="1:10" x14ac:dyDescent="0.2">
      <c r="A18" t="s">
        <v>31</v>
      </c>
      <c r="B18" t="s">
        <v>146</v>
      </c>
      <c r="C18" t="s">
        <v>143</v>
      </c>
      <c r="D18" t="s">
        <v>179</v>
      </c>
      <c r="E18" s="7">
        <v>2.91</v>
      </c>
      <c r="G18">
        <v>1</v>
      </c>
      <c r="H18" s="7">
        <f t="shared" si="0"/>
        <v>2.91</v>
      </c>
      <c r="J18" t="s">
        <v>32</v>
      </c>
    </row>
    <row r="19" spans="1:10" x14ac:dyDescent="0.2">
      <c r="A19" t="s">
        <v>33</v>
      </c>
      <c r="B19" t="s">
        <v>147</v>
      </c>
      <c r="C19" t="s">
        <v>148</v>
      </c>
      <c r="D19" t="s">
        <v>180</v>
      </c>
      <c r="E19" s="7">
        <v>1.03</v>
      </c>
      <c r="G19">
        <v>2</v>
      </c>
      <c r="H19" s="7">
        <f t="shared" si="0"/>
        <v>2.06</v>
      </c>
      <c r="J19" t="s">
        <v>34</v>
      </c>
    </row>
    <row r="20" spans="1:10" x14ac:dyDescent="0.2">
      <c r="A20" t="s">
        <v>35</v>
      </c>
      <c r="B20" t="s">
        <v>36</v>
      </c>
      <c r="C20" t="s">
        <v>102</v>
      </c>
      <c r="D20" s="6" t="s">
        <v>101</v>
      </c>
      <c r="E20" s="7">
        <v>0.78</v>
      </c>
      <c r="F20" s="7">
        <v>0.27500000000000002</v>
      </c>
      <c r="G20">
        <v>1</v>
      </c>
      <c r="H20" s="7">
        <f t="shared" si="0"/>
        <v>0.78</v>
      </c>
      <c r="J20" t="s">
        <v>37</v>
      </c>
    </row>
    <row r="21" spans="1:10" x14ac:dyDescent="0.2">
      <c r="A21" t="s">
        <v>38</v>
      </c>
      <c r="B21" t="s">
        <v>39</v>
      </c>
      <c r="C21" t="s">
        <v>149</v>
      </c>
      <c r="D21" t="s">
        <v>181</v>
      </c>
      <c r="E21" s="7">
        <v>1.32</v>
      </c>
      <c r="G21">
        <v>2</v>
      </c>
      <c r="H21" s="7">
        <f t="shared" si="0"/>
        <v>2.64</v>
      </c>
      <c r="J21" t="s">
        <v>40</v>
      </c>
    </row>
    <row r="22" spans="1:10" x14ac:dyDescent="0.2">
      <c r="A22" t="s">
        <v>46</v>
      </c>
      <c r="B22" t="s">
        <v>47</v>
      </c>
      <c r="C22" t="s">
        <v>192</v>
      </c>
      <c r="D22" s="5" t="s">
        <v>193</v>
      </c>
      <c r="E22" s="7">
        <v>1.85</v>
      </c>
      <c r="G22">
        <v>2</v>
      </c>
      <c r="H22" s="7">
        <f t="shared" si="0"/>
        <v>3.7</v>
      </c>
      <c r="J22" t="s">
        <v>48</v>
      </c>
    </row>
    <row r="23" spans="1:10" x14ac:dyDescent="0.2">
      <c r="A23" t="s">
        <v>41</v>
      </c>
      <c r="B23" t="s">
        <v>42</v>
      </c>
      <c r="C23" t="s">
        <v>99</v>
      </c>
      <c r="D23" s="5" t="s">
        <v>100</v>
      </c>
      <c r="E23" s="7">
        <v>6.01</v>
      </c>
      <c r="F23" s="7">
        <v>4.9400000000000004</v>
      </c>
      <c r="G23">
        <v>2</v>
      </c>
      <c r="H23" s="7">
        <f t="shared" si="0"/>
        <v>12.02</v>
      </c>
      <c r="J23" t="s">
        <v>43</v>
      </c>
    </row>
    <row r="24" spans="1:10" x14ac:dyDescent="0.2">
      <c r="A24" t="s">
        <v>141</v>
      </c>
      <c r="B24" t="s">
        <v>44</v>
      </c>
      <c r="C24" t="s">
        <v>142</v>
      </c>
      <c r="D24" s="5" t="s">
        <v>142</v>
      </c>
      <c r="G24">
        <v>5</v>
      </c>
      <c r="H24" s="7">
        <f t="shared" si="0"/>
        <v>0</v>
      </c>
      <c r="J24" t="s">
        <v>45</v>
      </c>
    </row>
    <row r="25" spans="1:10" x14ac:dyDescent="0.2">
      <c r="A25" t="s">
        <v>135</v>
      </c>
      <c r="B25" t="s">
        <v>138</v>
      </c>
      <c r="H25" s="7">
        <f t="shared" si="0"/>
        <v>0</v>
      </c>
    </row>
    <row r="26" spans="1:10" x14ac:dyDescent="0.2">
      <c r="A26" t="s">
        <v>137</v>
      </c>
      <c r="B26" t="s">
        <v>140</v>
      </c>
      <c r="H26" s="7">
        <f t="shared" si="0"/>
        <v>0</v>
      </c>
    </row>
    <row r="27" spans="1:10" x14ac:dyDescent="0.2">
      <c r="A27" t="s">
        <v>136</v>
      </c>
      <c r="B27" t="s">
        <v>139</v>
      </c>
      <c r="H27" s="7">
        <f t="shared" si="0"/>
        <v>0</v>
      </c>
    </row>
    <row r="28" spans="1:10" x14ac:dyDescent="0.2">
      <c r="A28" t="s">
        <v>49</v>
      </c>
      <c r="B28" t="s">
        <v>50</v>
      </c>
      <c r="C28" t="s">
        <v>87</v>
      </c>
      <c r="D28" s="5" t="s">
        <v>88</v>
      </c>
      <c r="E28" s="7">
        <v>3.61</v>
      </c>
      <c r="F28" s="7">
        <v>2.36</v>
      </c>
      <c r="G28">
        <v>2</v>
      </c>
      <c r="H28" s="7">
        <f t="shared" si="0"/>
        <v>7.22</v>
      </c>
      <c r="J28" t="s">
        <v>51</v>
      </c>
    </row>
    <row r="29" spans="1:10" x14ac:dyDescent="0.2">
      <c r="A29" t="s">
        <v>89</v>
      </c>
      <c r="B29" t="s">
        <v>90</v>
      </c>
      <c r="C29" t="s">
        <v>91</v>
      </c>
      <c r="D29" s="5" t="s">
        <v>92</v>
      </c>
      <c r="E29" s="7">
        <v>2.86</v>
      </c>
      <c r="F29" s="7">
        <v>1.38</v>
      </c>
      <c r="H29" s="7">
        <f t="shared" si="0"/>
        <v>0</v>
      </c>
    </row>
    <row r="30" spans="1:10" x14ac:dyDescent="0.2">
      <c r="A30" t="s">
        <v>52</v>
      </c>
      <c r="B30" t="s">
        <v>110</v>
      </c>
      <c r="C30" t="s">
        <v>111</v>
      </c>
      <c r="D30" s="5" t="s">
        <v>112</v>
      </c>
      <c r="E30" s="7">
        <v>0.34</v>
      </c>
      <c r="F30" s="9" t="s">
        <v>113</v>
      </c>
      <c r="G30">
        <v>8</v>
      </c>
      <c r="H30" s="7">
        <f t="shared" si="0"/>
        <v>2.72</v>
      </c>
      <c r="J30" t="s">
        <v>53</v>
      </c>
    </row>
    <row r="31" spans="1:10" x14ac:dyDescent="0.2">
      <c r="A31" t="s">
        <v>54</v>
      </c>
      <c r="B31" t="s">
        <v>133</v>
      </c>
      <c r="C31" t="s">
        <v>131</v>
      </c>
      <c r="D31" t="s">
        <v>132</v>
      </c>
      <c r="E31" s="7">
        <v>0.26</v>
      </c>
      <c r="F31" s="9" t="s">
        <v>134</v>
      </c>
      <c r="G31">
        <v>2</v>
      </c>
      <c r="H31" s="7">
        <f t="shared" si="0"/>
        <v>0.52</v>
      </c>
      <c r="J31" t="s">
        <v>55</v>
      </c>
    </row>
    <row r="32" spans="1:10" ht="16" x14ac:dyDescent="0.2">
      <c r="A32" t="s">
        <v>56</v>
      </c>
      <c r="B32" t="s">
        <v>57</v>
      </c>
      <c r="C32" t="s">
        <v>118</v>
      </c>
      <c r="D32" s="10" t="s">
        <v>114</v>
      </c>
      <c r="E32" s="7">
        <v>0.1</v>
      </c>
      <c r="G32">
        <v>1</v>
      </c>
      <c r="H32" s="7">
        <f t="shared" si="0"/>
        <v>0.1</v>
      </c>
      <c r="J32" t="s">
        <v>53</v>
      </c>
    </row>
    <row r="33" spans="1:10" x14ac:dyDescent="0.2">
      <c r="A33" t="s">
        <v>58</v>
      </c>
      <c r="B33" t="s">
        <v>115</v>
      </c>
      <c r="C33" t="s">
        <v>117</v>
      </c>
      <c r="D33" s="8" t="s">
        <v>116</v>
      </c>
      <c r="E33" s="7">
        <v>0.1</v>
      </c>
      <c r="F33" s="9" t="s">
        <v>119</v>
      </c>
      <c r="G33">
        <v>1</v>
      </c>
      <c r="H33" s="7">
        <f t="shared" si="0"/>
        <v>0.1</v>
      </c>
      <c r="J33" t="s">
        <v>53</v>
      </c>
    </row>
    <row r="34" spans="1:10" x14ac:dyDescent="0.2">
      <c r="A34" t="s">
        <v>122</v>
      </c>
      <c r="C34" t="s">
        <v>123</v>
      </c>
      <c r="G34">
        <v>1</v>
      </c>
      <c r="H34" s="7">
        <f t="shared" si="0"/>
        <v>0</v>
      </c>
      <c r="J34" t="s">
        <v>53</v>
      </c>
    </row>
    <row r="35" spans="1:10" x14ac:dyDescent="0.2">
      <c r="A35" t="s">
        <v>120</v>
      </c>
      <c r="C35" t="s">
        <v>124</v>
      </c>
      <c r="H35" s="7">
        <f t="shared" si="0"/>
        <v>0</v>
      </c>
      <c r="J35" t="s">
        <v>53</v>
      </c>
    </row>
    <row r="36" spans="1:10" x14ac:dyDescent="0.2">
      <c r="A36" t="s">
        <v>121</v>
      </c>
      <c r="C36" t="s">
        <v>125</v>
      </c>
      <c r="H36" s="7">
        <f t="shared" si="0"/>
        <v>0</v>
      </c>
      <c r="J36" t="s">
        <v>53</v>
      </c>
    </row>
    <row r="37" spans="1:10" ht="16" x14ac:dyDescent="0.2">
      <c r="A37" t="s">
        <v>170</v>
      </c>
      <c r="B37" t="s">
        <v>60</v>
      </c>
      <c r="C37" s="11" t="s">
        <v>172</v>
      </c>
      <c r="D37" s="11" t="s">
        <v>171</v>
      </c>
      <c r="E37" s="7">
        <v>0.1</v>
      </c>
      <c r="G37">
        <v>2</v>
      </c>
      <c r="H37" s="7">
        <f t="shared" si="0"/>
        <v>0.2</v>
      </c>
      <c r="J37" t="s">
        <v>53</v>
      </c>
    </row>
    <row r="38" spans="1:10" x14ac:dyDescent="0.2">
      <c r="A38" t="s">
        <v>59</v>
      </c>
      <c r="B38" t="s">
        <v>60</v>
      </c>
      <c r="C38" t="s">
        <v>126</v>
      </c>
      <c r="G38">
        <v>1</v>
      </c>
      <c r="H38" s="7">
        <f t="shared" si="0"/>
        <v>0</v>
      </c>
      <c r="J38" t="s">
        <v>61</v>
      </c>
    </row>
    <row r="39" spans="1:10" x14ac:dyDescent="0.2">
      <c r="A39" t="s">
        <v>165</v>
      </c>
      <c r="B39" t="s">
        <v>62</v>
      </c>
      <c r="G39">
        <v>10</v>
      </c>
      <c r="H39" s="7">
        <f t="shared" si="0"/>
        <v>0</v>
      </c>
      <c r="J39" t="s">
        <v>45</v>
      </c>
    </row>
    <row r="40" spans="1:10" x14ac:dyDescent="0.2">
      <c r="B40" t="s">
        <v>152</v>
      </c>
      <c r="C40" t="s">
        <v>157</v>
      </c>
      <c r="D40" s="5" t="s">
        <v>174</v>
      </c>
      <c r="E40" s="7">
        <v>0.28999999999999998</v>
      </c>
      <c r="F40" s="7">
        <v>0.26200000000000001</v>
      </c>
      <c r="H40" s="7">
        <f t="shared" si="0"/>
        <v>0</v>
      </c>
    </row>
    <row r="41" spans="1:10" x14ac:dyDescent="0.2">
      <c r="A41" t="s">
        <v>162</v>
      </c>
      <c r="B41" t="s">
        <v>156</v>
      </c>
      <c r="C41" t="s">
        <v>158</v>
      </c>
      <c r="D41" s="5" t="s">
        <v>178</v>
      </c>
      <c r="E41" s="7">
        <v>0.28999999999999998</v>
      </c>
      <c r="F41" s="7">
        <v>0.26200000000000001</v>
      </c>
      <c r="G41">
        <v>1</v>
      </c>
      <c r="H41" s="7">
        <f t="shared" si="0"/>
        <v>0.28999999999999998</v>
      </c>
    </row>
    <row r="42" spans="1:10" x14ac:dyDescent="0.2">
      <c r="A42" t="s">
        <v>166</v>
      </c>
      <c r="B42" t="s">
        <v>153</v>
      </c>
      <c r="C42" t="s">
        <v>159</v>
      </c>
      <c r="D42" s="5" t="s">
        <v>175</v>
      </c>
      <c r="E42" s="7">
        <v>0.28999999999999998</v>
      </c>
      <c r="F42" s="7">
        <v>0.26200000000000001</v>
      </c>
      <c r="G42">
        <v>4</v>
      </c>
      <c r="H42" s="7">
        <f t="shared" si="0"/>
        <v>1.1599999999999999</v>
      </c>
    </row>
    <row r="43" spans="1:10" x14ac:dyDescent="0.2">
      <c r="A43" t="s">
        <v>168</v>
      </c>
      <c r="B43" t="s">
        <v>154</v>
      </c>
      <c r="C43" t="s">
        <v>160</v>
      </c>
      <c r="D43" s="5" t="s">
        <v>176</v>
      </c>
      <c r="E43" s="7">
        <v>0.28999999999999998</v>
      </c>
      <c r="F43" s="7">
        <v>0.26200000000000001</v>
      </c>
      <c r="G43">
        <v>2</v>
      </c>
      <c r="H43" s="7">
        <f t="shared" si="0"/>
        <v>0.57999999999999996</v>
      </c>
    </row>
    <row r="44" spans="1:10" x14ac:dyDescent="0.2">
      <c r="A44" t="s">
        <v>169</v>
      </c>
      <c r="B44" t="s">
        <v>155</v>
      </c>
      <c r="C44" t="s">
        <v>161</v>
      </c>
      <c r="D44" s="5" t="s">
        <v>177</v>
      </c>
      <c r="E44" s="7">
        <v>0.28999999999999998</v>
      </c>
      <c r="F44" s="7">
        <v>0.26200000000000001</v>
      </c>
      <c r="G44">
        <v>2</v>
      </c>
      <c r="H44" s="7">
        <f t="shared" si="0"/>
        <v>0.57999999999999996</v>
      </c>
    </row>
    <row r="45" spans="1:10" x14ac:dyDescent="0.2">
      <c r="A45" t="s">
        <v>163</v>
      </c>
      <c r="B45" t="s">
        <v>198</v>
      </c>
      <c r="C45" t="s">
        <v>195</v>
      </c>
      <c r="D45" t="s">
        <v>196</v>
      </c>
      <c r="E45" s="7">
        <v>5.16</v>
      </c>
      <c r="F45" s="7">
        <v>4.03</v>
      </c>
      <c r="G45">
        <v>2</v>
      </c>
      <c r="H45" s="7">
        <f>G45*E45</f>
        <v>10.32</v>
      </c>
    </row>
    <row r="46" spans="1:10" x14ac:dyDescent="0.2">
      <c r="B46" t="s">
        <v>200</v>
      </c>
      <c r="C46" t="s">
        <v>74</v>
      </c>
      <c r="D46" s="5" t="s">
        <v>73</v>
      </c>
      <c r="E46" s="7">
        <v>7.45</v>
      </c>
      <c r="F46" s="7">
        <v>6.07</v>
      </c>
    </row>
    <row r="47" spans="1:10" x14ac:dyDescent="0.2">
      <c r="A47" t="s">
        <v>164</v>
      </c>
      <c r="B47" t="s">
        <v>199</v>
      </c>
      <c r="C47" t="s">
        <v>194</v>
      </c>
      <c r="D47" t="s">
        <v>197</v>
      </c>
      <c r="E47" s="7">
        <v>5.16</v>
      </c>
      <c r="F47" s="7">
        <v>4.03</v>
      </c>
      <c r="G47">
        <v>2</v>
      </c>
      <c r="H47" s="7">
        <f>G47*E47</f>
        <v>10.32</v>
      </c>
    </row>
    <row r="48" spans="1:10" x14ac:dyDescent="0.2">
      <c r="B48" t="s">
        <v>201</v>
      </c>
      <c r="C48" t="s">
        <v>75</v>
      </c>
      <c r="D48" t="s">
        <v>72</v>
      </c>
      <c r="E48" s="7">
        <v>7.45</v>
      </c>
      <c r="F48" s="7">
        <v>6.07</v>
      </c>
    </row>
    <row r="49" spans="1:10" x14ac:dyDescent="0.2">
      <c r="A49" t="s">
        <v>63</v>
      </c>
      <c r="B49" t="s">
        <v>64</v>
      </c>
      <c r="C49" t="s">
        <v>86</v>
      </c>
      <c r="D49" t="s">
        <v>173</v>
      </c>
      <c r="E49" s="7">
        <v>1.59</v>
      </c>
      <c r="F49" s="7">
        <v>1.18</v>
      </c>
      <c r="G49">
        <v>1</v>
      </c>
      <c r="H49" s="7">
        <f t="shared" si="0"/>
        <v>1.59</v>
      </c>
      <c r="J49" t="s">
        <v>65</v>
      </c>
    </row>
    <row r="51" spans="1:10" x14ac:dyDescent="0.2">
      <c r="H51" s="7">
        <f>SUM(H2:H49)</f>
        <v>113.30999999999997</v>
      </c>
    </row>
  </sheetData>
  <phoneticPr fontId="18" type="noConversion"/>
  <conditionalFormatting sqref="C37:D37">
    <cfRule type="expression" dxfId="1" priority="1">
      <formula>$L37=1</formula>
    </cfRule>
  </conditionalFormatting>
  <conditionalFormatting sqref="D32">
    <cfRule type="expression" dxfId="0" priority="2">
      <formula>$N32=1</formula>
    </cfRule>
  </conditionalFormatting>
  <pageMargins left="0.75" right="0.75" top="1" bottom="1" header="0.5" footer="0.5"/>
  <pageSetup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ST2402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Slama</cp:lastModifiedBy>
  <cp:lastPrinted>2025-01-31T22:10:56Z</cp:lastPrinted>
  <dcterms:created xsi:type="dcterms:W3CDTF">2025-01-30T19:10:10Z</dcterms:created>
  <dcterms:modified xsi:type="dcterms:W3CDTF">2025-02-03T22:15:51Z</dcterms:modified>
</cp:coreProperties>
</file>